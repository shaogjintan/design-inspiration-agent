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brary" sheetId="1" state="visible" r:id="rId3"/>
    <sheet name="Coverage" sheetId="2" state="visible" r:id="rId4"/>
    <sheet name="Budget tiers" sheetId="3" state="visible" r:id="rId5"/>
    <sheet name="Tag vocabulary" sheetId="4" state="visible" r:id="rId6"/>
    <sheet name="Gaps and caveats" sheetId="5" state="visible" r:id="rId7"/>
  </sheets>
  <definedNames>
    <definedName function="false" hidden="true" localSheetId="0" name="_xlnm._FilterDatabase" vbProcedure="false">Library!$A$1:$Q$103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<sst xmlns="http://schemas.openxmlformats.org/spreadsheetml/2006/main" count="1848" uniqueCount="645">
  <si>
    <t xml:space="preserve">ID</t>
  </si>
  <si>
    <t xml:space="preserve">Room type</t>
  </si>
  <si>
    <t xml:space="preserve">Housing fit (est.)</t>
  </si>
  <si>
    <t xml:space="preserve">Style</t>
  </si>
  <si>
    <t xml:space="preserve">Palette</t>
  </si>
  <si>
    <t xml:space="preserve">Materials</t>
  </si>
  <si>
    <t xml:space="preserve">Lighting</t>
  </si>
  <si>
    <t xml:space="preserve">Layout</t>
  </si>
  <si>
    <t xml:space="preserve">Textiles and texture</t>
  </si>
  <si>
    <t xml:space="preserve">Furniture style</t>
  </si>
  <si>
    <t xml:space="preserve">Mood</t>
  </si>
  <si>
    <t xml:space="preserve">Budget tier (est.)</t>
  </si>
  <si>
    <t xml:space="preserve">Photo or render</t>
  </si>
  <si>
    <t xml:space="preserve">Notes and flags</t>
  </si>
  <si>
    <t xml:space="preserve">Photographer</t>
  </si>
  <si>
    <t xml:space="preserve">Source URL</t>
  </si>
  <si>
    <t xml:space="preserve">Licence</t>
  </si>
  <si>
    <t xml:space="preserve">FL-0001</t>
  </si>
  <si>
    <t xml:space="preserve">living</t>
  </si>
  <si>
    <t xml:space="preserve">HDB; condo</t>
  </si>
  <si>
    <t xml:space="preserve">Japandi</t>
  </si>
  <si>
    <t xml:space="preserve">warm neutral; grey, walnut</t>
  </si>
  <si>
    <t xml:space="preserve">dark wood; fabric-heavy</t>
  </si>
  <si>
    <t xml:space="preserve">natural-led; feature pendant</t>
  </si>
  <si>
    <t xml:space="preserve">open concept</t>
  </si>
  <si>
    <t xml:space="preserve">soft layered</t>
  </si>
  <si>
    <t xml:space="preserve">low-profile</t>
  </si>
  <si>
    <t xml:space="preserve">calm</t>
  </si>
  <si>
    <t xml:space="preserve">Mid-range</t>
  </si>
  <si>
    <t xml:space="preserve">No</t>
  </si>
  <si>
    <t xml:space="preserve">living-dining layout close to a SG condo</t>
  </si>
  <si>
    <t xml:space="preserve">Clay Banks (@claybanks)</t>
  </si>
  <si>
    <t xml:space="preserve">https://unsplash.com/photos/RDg0Xz_KBdY</t>
  </si>
  <si>
    <t xml:space="preserve">Unsplash Licence</t>
  </si>
  <si>
    <t xml:space="preserve">FL-0002</t>
  </si>
  <si>
    <t xml:space="preserve">warm neutral; white, oak, navy</t>
  </si>
  <si>
    <t xml:space="preserve">light wood; fabric-heavy</t>
  </si>
  <si>
    <t xml:space="preserve">natural-led</t>
  </si>
  <si>
    <t xml:space="preserve">smooth</t>
  </si>
  <si>
    <t xml:space="preserve">Essential</t>
  </si>
  <si>
    <t xml:space="preserve">long narrow plan similar to HDB living-dining</t>
  </si>
  <si>
    <t xml:space="preserve">Fred Kleber (@flaken)</t>
  </si>
  <si>
    <t xml:space="preserve">https://unsplash.com/photos/mqEuPwpEvuE</t>
  </si>
  <si>
    <t xml:space="preserve">FL-0003</t>
  </si>
  <si>
    <t xml:space="preserve">Scandinavian</t>
  </si>
  <si>
    <t xml:space="preserve">warm neutral; white, cream</t>
  </si>
  <si>
    <t xml:space="preserve">light wood; rattan; fabric-heavy</t>
  </si>
  <si>
    <t xml:space="preserve">natural-led; floor lamp</t>
  </si>
  <si>
    <t xml:space="preserve">semi-open</t>
  </si>
  <si>
    <t xml:space="preserve">freestanding</t>
  </si>
  <si>
    <t xml:space="preserve">Likely</t>
  </si>
  <si>
    <t xml:space="preserve">Spacejoy (@spacejoy)</t>
  </si>
  <si>
    <t xml:space="preserve">https://unsplash.com/photos/c0JoR_-2x3E</t>
  </si>
  <si>
    <t xml:space="preserve">FL-0004</t>
  </si>
  <si>
    <t xml:space="preserve">warm neutral with pastel accents; white, sage, orange</t>
  </si>
  <si>
    <t xml:space="preserve">closed</t>
  </si>
  <si>
    <t xml:space="preserve">playful</t>
  </si>
  <si>
    <t xml:space="preserve">Yehleen gaffney (@yanagirl2020)</t>
  </si>
  <si>
    <t xml:space="preserve">https://unsplash.com/photos/raxI_EcyfGw</t>
  </si>
  <si>
    <t xml:space="preserve">FL-0005</t>
  </si>
  <si>
    <t xml:space="preserve">contemporary</t>
  </si>
  <si>
    <t xml:space="preserve">cool neutral with bold art; charcoal, slate, brown</t>
  </si>
  <si>
    <t xml:space="preserve">fabric-heavy; metal</t>
  </si>
  <si>
    <t xml:space="preserve">warm ambient; natural-led</t>
  </si>
  <si>
    <t xml:space="preserve">statement piece</t>
  </si>
  <si>
    <t xml:space="preserve">dramatic</t>
  </si>
  <si>
    <t xml:space="preserve">sculptural chairs and abstract art</t>
  </si>
  <si>
    <t xml:space="preserve">mahmoud azmy (@mahmoud_azmy)</t>
  </si>
  <si>
    <t xml:space="preserve">https://unsplash.com/photos/8ccOqbNdp1A</t>
  </si>
  <si>
    <t xml:space="preserve">FL-0006</t>
  </si>
  <si>
    <t xml:space="preserve">warm neutral; tan, walnut, grey</t>
  </si>
  <si>
    <t xml:space="preserve">cove; warm ambient</t>
  </si>
  <si>
    <t xml:space="preserve">built-in heavy</t>
  </si>
  <si>
    <t xml:space="preserve">cosy</t>
  </si>
  <si>
    <t xml:space="preserve">tray ceiling with cove and panelled TV wall, close to Asian apartment styling; likely a 3D render</t>
  </si>
  <si>
    <t xml:space="preserve">Naksha Banwao (@nakshabanwao)</t>
  </si>
  <si>
    <t xml:space="preserve">https://unsplash.com/photos/nAFuA8t5K9Y</t>
  </si>
  <si>
    <t xml:space="preserve">FL-0007</t>
  </si>
  <si>
    <t xml:space="preserve">condo; landed</t>
  </si>
  <si>
    <t xml:space="preserve">cool neutral; grey, white, black</t>
  </si>
  <si>
    <t xml:space="preserve">concrete; fabric-heavy</t>
  </si>
  <si>
    <t xml:space="preserve">Premium</t>
  </si>
  <si>
    <t xml:space="preserve">Aalo Lens (@aalolens)</t>
  </si>
  <si>
    <t xml:space="preserve">https://unsplash.com/photos/ugIfsN9l_q4</t>
  </si>
  <si>
    <t xml:space="preserve">FL-0008</t>
  </si>
  <si>
    <t xml:space="preserve">landed</t>
  </si>
  <si>
    <t xml:space="preserve">industrial</t>
  </si>
  <si>
    <t xml:space="preserve">bold; navy, brick red, grey</t>
  </si>
  <si>
    <t xml:space="preserve">metal; fabric-heavy; concrete</t>
  </si>
  <si>
    <t xml:space="preserve">woven</t>
  </si>
  <si>
    <t xml:space="preserve">exposed brick; loft volume unlike SG flats</t>
  </si>
  <si>
    <t xml:space="preserve">Anna Sullivan (@aesullivan2010)</t>
  </si>
  <si>
    <t xml:space="preserve">https://unsplash.com/photos/FKZsWsFiNDs</t>
  </si>
  <si>
    <t xml:space="preserve">FL-0009</t>
  </si>
  <si>
    <t xml:space="preserve">earthy; brick red, black, teal</t>
  </si>
  <si>
    <t xml:space="preserve">metal; fabric-heavy</t>
  </si>
  <si>
    <t xml:space="preserve">warm ambient; floor lamp</t>
  </si>
  <si>
    <t xml:space="preserve">brick feature wall at apartment scale (tile or wallpaper can replicate)</t>
  </si>
  <si>
    <t xml:space="preserve">MAHZA D'BRATA (@mahza_dbrata)</t>
  </si>
  <si>
    <t xml:space="preserve">https://unsplash.com/photos/G88ehihe6wQ</t>
  </si>
  <si>
    <t xml:space="preserve">FL-0010</t>
  </si>
  <si>
    <t xml:space="preserve">mid-century</t>
  </si>
  <si>
    <t xml:space="preserve">bold; olive green, burnt orange</t>
  </si>
  <si>
    <t xml:space="preserve">gallery wall, colour-led rather than build-led</t>
  </si>
  <si>
    <t xml:space="preserve">https://unsplash.com/photos/q3Qd86sfaoU</t>
  </si>
  <si>
    <t xml:space="preserve">FL-0011</t>
  </si>
  <si>
    <t xml:space="preserve">earthy; tan leather, sage, white</t>
  </si>
  <si>
    <t xml:space="preserve">airy</t>
  </si>
  <si>
    <t xml:space="preserve">high ceiling, open plan</t>
  </si>
  <si>
    <t xml:space="preserve">Kara Eads (@karaeads)</t>
  </si>
  <si>
    <t xml:space="preserve">https://unsplash.com/photos/L7EwHkq1B2s</t>
  </si>
  <si>
    <t xml:space="preserve">FL-0012</t>
  </si>
  <si>
    <t xml:space="preserve">modern luxe</t>
  </si>
  <si>
    <t xml:space="preserve">warm neutral with black stone; cream, black marble, walnut</t>
  </si>
  <si>
    <t xml:space="preserve">marble; dark wood; fabric-heavy</t>
  </si>
  <si>
    <t xml:space="preserve">natural-led; warm ambient</t>
  </si>
  <si>
    <t xml:space="preserve">black marble fireplace wall</t>
  </si>
  <si>
    <t xml:space="preserve">Ariel Domenden (@hypvisual)</t>
  </si>
  <si>
    <t xml:space="preserve">https://unsplash.com/photos/gBqNmxSxnAM</t>
  </si>
  <si>
    <t xml:space="preserve">FL-0013</t>
  </si>
  <si>
    <t xml:space="preserve">warm neutral; cream, gold, grey</t>
  </si>
  <si>
    <t xml:space="preserve">marble; metal; fabric-heavy</t>
  </si>
  <si>
    <t xml:space="preserve">feature pendant; cove</t>
  </si>
  <si>
    <t xml:space="preserve">crystal chandelier</t>
  </si>
  <si>
    <t xml:space="preserve">https://unsplash.com/photos/-QCjahEjubY</t>
  </si>
  <si>
    <t xml:space="preserve">FL-0014</t>
  </si>
  <si>
    <t xml:space="preserve">cool neutral with gold; grey, white, brass</t>
  </si>
  <si>
    <t xml:space="preserve">panelled walls and marble floor; likely a 3D render</t>
  </si>
  <si>
    <t xml:space="preserve">Ali Moradi (@3dartistmoradi)</t>
  </si>
  <si>
    <t xml:space="preserve">https://unsplash.com/photos/nhzhEZvhZ1M</t>
  </si>
  <si>
    <t xml:space="preserve">FL-0015</t>
  </si>
  <si>
    <t xml:space="preserve">modern minimalist</t>
  </si>
  <si>
    <t xml:space="preserve">cool neutral; charcoal, grey, black</t>
  </si>
  <si>
    <t xml:space="preserve">cove; natural-led</t>
  </si>
  <si>
    <t xml:space="preserve">full-height glazing</t>
  </si>
  <si>
    <t xml:space="preserve">Prydumano Design (@prydumanodesign)</t>
  </si>
  <si>
    <t xml:space="preserve">https://unsplash.com/photos/vIbxvHj9m9g</t>
  </si>
  <si>
    <t xml:space="preserve">FL-0016</t>
  </si>
  <si>
    <t xml:space="preserve">warm neutral; beige, cream</t>
  </si>
  <si>
    <t xml:space="preserve">fabric-heavy</t>
  </si>
  <si>
    <t xml:space="preserve">curved boucle furniture and cove ceiling, a common SG condo look</t>
  </si>
  <si>
    <t xml:space="preserve">Pipcke (@pipcke)</t>
  </si>
  <si>
    <t xml:space="preserve">https://unsplash.com/photos/SZ-DsEZxzlg</t>
  </si>
  <si>
    <t xml:space="preserve">FL-0017</t>
  </si>
  <si>
    <t xml:space="preserve">warm neutral; taupe, grey, blush</t>
  </si>
  <si>
    <t xml:space="preserve">fabric-heavy; light wood</t>
  </si>
  <si>
    <t xml:space="preserve">feature wall panel</t>
  </si>
  <si>
    <t xml:space="preserve">POOJAN THANEKAR (@poojanclicks)</t>
  </si>
  <si>
    <t xml:space="preserve">https://unsplash.com/photos/-jk2BBoQxSk</t>
  </si>
  <si>
    <t xml:space="preserve">FL-0018</t>
  </si>
  <si>
    <t xml:space="preserve">tropical</t>
  </si>
  <si>
    <t xml:space="preserve">earthy; white, green, tan</t>
  </si>
  <si>
    <t xml:space="preserve">rattan; fabric-heavy; concrete</t>
  </si>
  <si>
    <t xml:space="preserve">breeze-block screen wall and indoor planting, strong local relevance; likely a 3D render</t>
  </si>
  <si>
    <t xml:space="preserve">Jejo Jose (@tomjejojose)</t>
  </si>
  <si>
    <t xml:space="preserve">https://unsplash.com/photos/p2oz7Bkk5t4</t>
  </si>
  <si>
    <t xml:space="preserve">FL-0019</t>
  </si>
  <si>
    <t xml:space="preserve">warm neutral; white, honey wood</t>
  </si>
  <si>
    <t xml:space="preserve">natural-led; ceiling fan</t>
  </si>
  <si>
    <t xml:space="preserve">ceiling fan and open living-dining, suits SG climate</t>
  </si>
  <si>
    <t xml:space="preserve">Jose Gonzalez (@gdesignc)</t>
  </si>
  <si>
    <t xml:space="preserve">https://unsplash.com/photos/5OWwWbutc_g</t>
  </si>
  <si>
    <t xml:space="preserve">FL-0020</t>
  </si>
  <si>
    <t xml:space="preserve">master bedroom</t>
  </si>
  <si>
    <t xml:space="preserve">earthy; beige, walnut, green</t>
  </si>
  <si>
    <t xml:space="preserve">warm ambient; feature pendant</t>
  </si>
  <si>
    <t xml:space="preserve">slatted feature wall behind bed; image may be a 3D render</t>
  </si>
  <si>
    <t xml:space="preserve">Thufeil M (@thufeilm23)</t>
  </si>
  <si>
    <t xml:space="preserve">https://unsplash.com/photos/OihXclRy8n0</t>
  </si>
  <si>
    <t xml:space="preserve">FL-0021</t>
  </si>
  <si>
    <t xml:space="preserve">warm neutral; white, light wood</t>
  </si>
  <si>
    <t xml:space="preserve">sloped attic ceiling, not typical of SG flats</t>
  </si>
  <si>
    <t xml:space="preserve">Minh Pham (@minhphamdesign)</t>
  </si>
  <si>
    <t xml:space="preserve">https://unsplash.com/photos/7pCFUybP_P8</t>
  </si>
  <si>
    <t xml:space="preserve">FL-0022</t>
  </si>
  <si>
    <t xml:space="preserve">warm neutral; olive, beige, grey</t>
  </si>
  <si>
    <t xml:space="preserve">fabric-heavy; dark wood</t>
  </si>
  <si>
    <t xml:space="preserve">compact room with integrated desk, close to an HDB bedroom footprint; likely a 3D render</t>
  </si>
  <si>
    <t xml:space="preserve">https://unsplash.com/photos/b0DHABrkRcM</t>
  </si>
  <si>
    <t xml:space="preserve">FL-0023</t>
  </si>
  <si>
    <t xml:space="preserve">cool neutral; grey, white, charcoal</t>
  </si>
  <si>
    <t xml:space="preserve">cove; feature pendant</t>
  </si>
  <si>
    <t xml:space="preserve">backlit panelled headboard wall; likely a 3D render</t>
  </si>
  <si>
    <t xml:space="preserve">https://unsplash.com/photos/IUTewwzaFeM</t>
  </si>
  <si>
    <t xml:space="preserve">FL-0024</t>
  </si>
  <si>
    <t xml:space="preserve">earthy; brick red, white, black</t>
  </si>
  <si>
    <t xml:space="preserve">iron bed and gallery wall; eclectic, weak industrial fit (library gap: few industrial bedrooms)</t>
  </si>
  <si>
    <t xml:space="preserve">Daria Doroshenko (@melodic_owl)</t>
  </si>
  <si>
    <t xml:space="preserve">https://unsplash.com/photos/8FzQn08ukM8</t>
  </si>
  <si>
    <t xml:space="preserve">FL-0025</t>
  </si>
  <si>
    <t xml:space="preserve">bold; teal, mustard, white</t>
  </si>
  <si>
    <t xml:space="preserve">geometric wallpaper feature wall</t>
  </si>
  <si>
    <t xml:space="preserve">Lotus Design N Print (@lotusdnp)</t>
  </si>
  <si>
    <t xml:space="preserve">https://unsplash.com/photos/RnAo-ha4bpM</t>
  </si>
  <si>
    <t xml:space="preserve">FL-0026</t>
  </si>
  <si>
    <t xml:space="preserve">earthy; honey wood, white</t>
  </si>
  <si>
    <t xml:space="preserve">light wood; rattan</t>
  </si>
  <si>
    <t xml:space="preserve">timber-clad walls</t>
  </si>
  <si>
    <t xml:space="preserve">https://unsplash.com/photos/r8i3RwrVcRk</t>
  </si>
  <si>
    <t xml:space="preserve">FL-0027</t>
  </si>
  <si>
    <t xml:space="preserve">monochrome; charcoal, black, grey</t>
  </si>
  <si>
    <t xml:space="preserve">fabric-heavy; metal; dark wood</t>
  </si>
  <si>
    <t xml:space="preserve">dark panelled walls and upholstered bed; likely a 3D render</t>
  </si>
  <si>
    <t xml:space="preserve">https://unsplash.com/photos/vz9IbCAXHKQ</t>
  </si>
  <si>
    <t xml:space="preserve">FL-0028</t>
  </si>
  <si>
    <t xml:space="preserve">cool neutral; white, grey, silver</t>
  </si>
  <si>
    <t xml:space="preserve">feature pendant; natural-led</t>
  </si>
  <si>
    <t xml:space="preserve">chandelier, large room with seating area</t>
  </si>
  <si>
    <t xml:space="preserve">https://unsplash.com/photos/NLl4DIDCQFM</t>
  </si>
  <si>
    <t xml:space="preserve">FL-0029</t>
  </si>
  <si>
    <t xml:space="preserve">warm neutral; beige, oak</t>
  </si>
  <si>
    <t xml:space="preserve">arched timber headboard niche</t>
  </si>
  <si>
    <t xml:space="preserve">Spl Interiors (@spl_interiors)</t>
  </si>
  <si>
    <t xml:space="preserve">https://unsplash.com/photos/0tVimluL_ls</t>
  </si>
  <si>
    <t xml:space="preserve">FL-0030</t>
  </si>
  <si>
    <t xml:space="preserve">cool neutral; charcoal, grey, walnut</t>
  </si>
  <si>
    <t xml:space="preserve">concrete; dark wood; fabric-heavy</t>
  </si>
  <si>
    <t xml:space="preserve">Le Quan (@mrkheu)</t>
  </si>
  <si>
    <t xml:space="preserve">https://unsplash.com/photos/ErDrzSvSNv4</t>
  </si>
  <si>
    <t xml:space="preserve">FL-0031</t>
  </si>
  <si>
    <t xml:space="preserve">built-in shelving beside the bed</t>
  </si>
  <si>
    <t xml:space="preserve">https://unsplash.com/photos/u-RIsXlI8Q8</t>
  </si>
  <si>
    <t xml:space="preserve">FL-0032</t>
  </si>
  <si>
    <t xml:space="preserve">earthy; dark teak, cream, teal</t>
  </si>
  <si>
    <t xml:space="preserve">warm ambient; cove</t>
  </si>
  <si>
    <t xml:space="preserve">resort style with garden view</t>
  </si>
  <si>
    <t xml:space="preserve">visualsofdana (@visualsofdana)</t>
  </si>
  <si>
    <t xml:space="preserve">https://unsplash.com/photos/T5pL6ciEn-I</t>
  </si>
  <si>
    <t xml:space="preserve">FL-0033</t>
  </si>
  <si>
    <t xml:space="preserve">warm neutral; white, rattan, blush</t>
  </si>
  <si>
    <t xml:space="preserve">rattan; fabric-heavy</t>
  </si>
  <si>
    <t xml:space="preserve">rattan headboard and jute rug, low-cost look</t>
  </si>
  <si>
    <t xml:space="preserve">Alex Tyson (@alextyson195)</t>
  </si>
  <si>
    <t xml:space="preserve">https://unsplash.com/photos/W-wNHts_g3I</t>
  </si>
  <si>
    <t xml:space="preserve">FL-0034</t>
  </si>
  <si>
    <t xml:space="preserve">kitchen</t>
  </si>
  <si>
    <t xml:space="preserve">warm neutral; white, oak</t>
  </si>
  <si>
    <t xml:space="preserve">light wood; marble</t>
  </si>
  <si>
    <t xml:space="preserve">reclassified from Japandi, reads as modern minimalist; marble floor and full-height cabinetry</t>
  </si>
  <si>
    <t xml:space="preserve">Brian Zajac (@brianzajac)</t>
  </si>
  <si>
    <t xml:space="preserve">https://unsplash.com/photos/lE7pmNZZ3Fw</t>
  </si>
  <si>
    <t xml:space="preserve">FL-0035</t>
  </si>
  <si>
    <t xml:space="preserve">warm neutral; greige, walnut</t>
  </si>
  <si>
    <t xml:space="preserve">dark wood; rattan; metal</t>
  </si>
  <si>
    <t xml:space="preserve">warm ambient; cove; feature pendant</t>
  </si>
  <si>
    <t xml:space="preserve">compact dining-kitchen, close to a condo layout</t>
  </si>
  <si>
    <t xml:space="preserve">https://unsplash.com/photos/cmuuvD2osWs</t>
  </si>
  <si>
    <t xml:space="preserve">FL-0036</t>
  </si>
  <si>
    <t xml:space="preserve">monochrome with light wood; black, white, oak</t>
  </si>
  <si>
    <t xml:space="preserve">light wood; metal</t>
  </si>
  <si>
    <t xml:space="preserve">krishna kumar c (@krishna_147)</t>
  </si>
  <si>
    <t xml:space="preserve">https://unsplash.com/photos/j6MCxix3o2c</t>
  </si>
  <si>
    <t xml:space="preserve">FL-0037</t>
  </si>
  <si>
    <t xml:space="preserve">monochrome with wood; black, oak, white</t>
  </si>
  <si>
    <t xml:space="preserve">light wood; marble; metal</t>
  </si>
  <si>
    <t xml:space="preserve">fluted island, open to dining</t>
  </si>
  <si>
    <t xml:space="preserve">Anand Kumar (@elathi)</t>
  </si>
  <si>
    <t xml:space="preserve">https://unsplash.com/photos/AgHJm3uKr4U</t>
  </si>
  <si>
    <t xml:space="preserve">FL-0038</t>
  </si>
  <si>
    <t xml:space="preserve">earthy; walnut, black, brass</t>
  </si>
  <si>
    <t xml:space="preserve">dark wood; metal</t>
  </si>
  <si>
    <t xml:space="preserve">Alina Tramontana (@render_innovate3d)</t>
  </si>
  <si>
    <t xml:space="preserve">https://unsplash.com/photos/kAa2xEs_jZo</t>
  </si>
  <si>
    <t xml:space="preserve">FL-0039</t>
  </si>
  <si>
    <t xml:space="preserve">cool neutral; charcoal, concrete, oak</t>
  </si>
  <si>
    <t xml:space="preserve">concrete; metal; light wood</t>
  </si>
  <si>
    <t xml:space="preserve">raw</t>
  </si>
  <si>
    <t xml:space="preserve">Jean-Philippe Delberghe (@jipy32)</t>
  </si>
  <si>
    <t xml:space="preserve">https://unsplash.com/photos/4jxGry4pXtc</t>
  </si>
  <si>
    <t xml:space="preserve">FL-0040</t>
  </si>
  <si>
    <t xml:space="preserve">bold; black, honey wood, white</t>
  </si>
  <si>
    <t xml:space="preserve">open shelving; may be a cafe counter rather than a home kitchen</t>
  </si>
  <si>
    <t xml:space="preserve">Petr (@mpetrucho)</t>
  </si>
  <si>
    <t xml:space="preserve">https://unsplash.com/photos/Obh4ZS_bbno</t>
  </si>
  <si>
    <t xml:space="preserve">FL-0041</t>
  </si>
  <si>
    <t xml:space="preserve">warm neutral with bold accent; walnut, white, red</t>
  </si>
  <si>
    <t xml:space="preserve">dark wood; marble</t>
  </si>
  <si>
    <t xml:space="preserve">walnut upper cabinets, statement red range</t>
  </si>
  <si>
    <t xml:space="preserve">André François McKenzie (@silverhousehd)</t>
  </si>
  <si>
    <t xml:space="preserve">https://unsplash.com/photos/sZ5CteK2r6E</t>
  </si>
  <si>
    <t xml:space="preserve">FL-0042</t>
  </si>
  <si>
    <t xml:space="preserve">warm neutral; white, walnut</t>
  </si>
  <si>
    <t xml:space="preserve">globe pendants over a walnut island</t>
  </si>
  <si>
    <t xml:space="preserve">roam in color (@roamincolor)</t>
  </si>
  <si>
    <t xml:space="preserve">https://unsplash.com/photos/RryFk4n-vOs</t>
  </si>
  <si>
    <t xml:space="preserve">FL-0043</t>
  </si>
  <si>
    <t xml:space="preserve">warm neutral; greige, white marble</t>
  </si>
  <si>
    <t xml:space="preserve">marble; metal</t>
  </si>
  <si>
    <t xml:space="preserve">book-matched marble backsplash with backlit display cabinets; likely a 3D render</t>
  </si>
  <si>
    <t xml:space="preserve">Medea Dzagnidze (@medeadza)</t>
  </si>
  <si>
    <t xml:space="preserve">https://unsplash.com/photos/1jy1WNfqHos</t>
  </si>
  <si>
    <t xml:space="preserve">FL-0044</t>
  </si>
  <si>
    <t xml:space="preserve">monochrome with gold; black, white marble, walnut</t>
  </si>
  <si>
    <t xml:space="preserve">marble; dark wood; metal</t>
  </si>
  <si>
    <t xml:space="preserve">Murat Demircan (@muratdemircan)</t>
  </si>
  <si>
    <t xml:space="preserve">https://unsplash.com/photos/c318EdSUtK4</t>
  </si>
  <si>
    <t xml:space="preserve">FL-0045</t>
  </si>
  <si>
    <t xml:space="preserve">warm neutral; walnut, white, grey</t>
  </si>
  <si>
    <t xml:space="preserve">SPurno Animation Studio (@spurno)</t>
  </si>
  <si>
    <t xml:space="preserve">https://unsplash.com/photos/80DAbtNfh4k</t>
  </si>
  <si>
    <t xml:space="preserve">FL-0046</t>
  </si>
  <si>
    <t xml:space="preserve">cool neutral; grey, white</t>
  </si>
  <si>
    <t xml:space="preserve">metal; light wood</t>
  </si>
  <si>
    <t xml:space="preserve">natural-led; cove</t>
  </si>
  <si>
    <t xml:space="preserve">compact kitchen with dining nook, HDB-scale</t>
  </si>
  <si>
    <t xml:space="preserve">taufiq triadi (@mochamadtaufiq23)</t>
  </si>
  <si>
    <t xml:space="preserve">https://unsplash.com/photos/E7yGIdzNE3k</t>
  </si>
  <si>
    <t xml:space="preserve">FL-0047</t>
  </si>
  <si>
    <t xml:space="preserve">monochrome; white</t>
  </si>
  <si>
    <t xml:space="preserve">metal; marble</t>
  </si>
  <si>
    <t xml:space="preserve">white galley layout, close to an HDB kitchen</t>
  </si>
  <si>
    <t xml:space="preserve">Simona Sergi (@i_am_simoesse)</t>
  </si>
  <si>
    <t xml:space="preserve">https://unsplash.com/photos/gijwI4X-7ig</t>
  </si>
  <si>
    <t xml:space="preserve">FL-0048</t>
  </si>
  <si>
    <t xml:space="preserve">earthy; teak, black, green</t>
  </si>
  <si>
    <t xml:space="preserve">opens directly to garden, landed only</t>
  </si>
  <si>
    <t xml:space="preserve">Sanju Pandita (@spxclicks)</t>
  </si>
  <si>
    <t xml:space="preserve">https://unsplash.com/photos/_yynzKwlZOw</t>
  </si>
  <si>
    <t xml:space="preserve">FL-0049</t>
  </si>
  <si>
    <t xml:space="preserve">warm neutral; white, light wood, terracotta</t>
  </si>
  <si>
    <t xml:space="preserve">rattan pendants and open shelving at apartment scale</t>
  </si>
  <si>
    <t xml:space="preserve">Luis J. Corniel (@luisjcorniel)</t>
  </si>
  <si>
    <t xml:space="preserve">https://unsplash.com/photos/8R_eeyi5bFg</t>
  </si>
  <si>
    <t xml:space="preserve">FL-0050</t>
  </si>
  <si>
    <t xml:space="preserve">bathroom</t>
  </si>
  <si>
    <t xml:space="preserve">warm neutral; white, oak, black accents</t>
  </si>
  <si>
    <t xml:space="preserve">compact wall-hung layout, workable in HDB</t>
  </si>
  <si>
    <t xml:space="preserve">Murad Kerimli (@frankkip)</t>
  </si>
  <si>
    <t xml:space="preserve">https://unsplash.com/photos/Ofidz3G8k0Y</t>
  </si>
  <si>
    <t xml:space="preserve">FL-0051</t>
  </si>
  <si>
    <t xml:space="preserve">earthy; stone grey, walnut, green</t>
  </si>
  <si>
    <t xml:space="preserve">concrete; dark wood</t>
  </si>
  <si>
    <t xml:space="preserve">freestanding tub needs a large bathroom</t>
  </si>
  <si>
    <t xml:space="preserve">Rebecca Chandler (@rebecca_luckyducks)</t>
  </si>
  <si>
    <t xml:space="preserve">https://unsplash.com/photos/59YYIR-20xs</t>
  </si>
  <si>
    <t xml:space="preserve">FL-0052</t>
  </si>
  <si>
    <t xml:space="preserve">monochrome; white, black</t>
  </si>
  <si>
    <t xml:space="preserve">compact footprint similar to an HDB common bathroom; tile type is subway</t>
  </si>
  <si>
    <t xml:space="preserve">Hemant Kanojiya (@thehk1)</t>
  </si>
  <si>
    <t xml:space="preserve">https://unsplash.com/photos/LSKfjiXsbUU</t>
  </si>
  <si>
    <t xml:space="preserve">FL-0053</t>
  </si>
  <si>
    <t xml:space="preserve">warm neutral; white, grey, oak</t>
  </si>
  <si>
    <t xml:space="preserve">light wood; concrete; metal</t>
  </si>
  <si>
    <t xml:space="preserve">freestanding tub and large floor area, unlikely in HDB</t>
  </si>
  <si>
    <t xml:space="preserve">https://unsplash.com/photos/j7Uv1Y_A7dY</t>
  </si>
  <si>
    <t xml:space="preserve">FL-0054</t>
  </si>
  <si>
    <t xml:space="preserve">monochrome; white marble, black marble</t>
  </si>
  <si>
    <t xml:space="preserve">compact wall-hung layout with fluted vanity</t>
  </si>
  <si>
    <t xml:space="preserve">https://unsplash.com/photos/SWSY0NEicIs</t>
  </si>
  <si>
    <t xml:space="preserve">FL-0055</t>
  </si>
  <si>
    <t xml:space="preserve">earthy; beige, grey, patterned tile</t>
  </si>
  <si>
    <t xml:space="preserve">marble; terrazzo; metal</t>
  </si>
  <si>
    <t xml:space="preserve">patterned floor tiles and glass shower screen</t>
  </si>
  <si>
    <t xml:space="preserve">https://unsplash.com/photos/q-LqibnwN8Y</t>
  </si>
  <si>
    <t xml:space="preserve">FL-0056</t>
  </si>
  <si>
    <t xml:space="preserve">concrete; metal; dark wood</t>
  </si>
  <si>
    <t xml:space="preserve">backlit mirror, walk-in shower</t>
  </si>
  <si>
    <t xml:space="preserve">Mohammad Najjar (@arche7vn)</t>
  </si>
  <si>
    <t xml:space="preserve">https://unsplash.com/photos/yH1k2Qp86Tk</t>
  </si>
  <si>
    <t xml:space="preserve">FL-0057</t>
  </si>
  <si>
    <t xml:space="preserve">monochrome; charcoal, black</t>
  </si>
  <si>
    <t xml:space="preserve">concrete; metal</t>
  </si>
  <si>
    <t xml:space="preserve">cool task; cove</t>
  </si>
  <si>
    <t xml:space="preserve">washing machine sits in the bathroom, a common SG layout</t>
  </si>
  <si>
    <t xml:space="preserve">https://unsplash.com/photos/trSptCbWxAo</t>
  </si>
  <si>
    <t xml:space="preserve">FL-0058</t>
  </si>
  <si>
    <t xml:space="preserve">warm neutral; white, teak, black</t>
  </si>
  <si>
    <t xml:space="preserve">teak double vanity with pill mirrors</t>
  </si>
  <si>
    <t xml:space="preserve">Zac Gudakov (@zacgudakov)</t>
  </si>
  <si>
    <t xml:space="preserve">https://unsplash.com/photos/d5yfKfMSk9o</t>
  </si>
  <si>
    <t xml:space="preserve">FL-0059</t>
  </si>
  <si>
    <t xml:space="preserve">warm neutral; white, teak, green</t>
  </si>
  <si>
    <t xml:space="preserve">compact footprint, round mirror</t>
  </si>
  <si>
    <t xml:space="preserve">https://unsplash.com/photos/Fuguvv3goCA</t>
  </si>
  <si>
    <t xml:space="preserve">FL-0060</t>
  </si>
  <si>
    <t xml:space="preserve">cool neutral with gold; white marble, grey, brass</t>
  </si>
  <si>
    <t xml:space="preserve">marble walls with brass round mirrors</t>
  </si>
  <si>
    <t xml:space="preserve">Christian Mackie (@mackiec)</t>
  </si>
  <si>
    <t xml:space="preserve">https://unsplash.com/photos/yb9b2wbhxG4</t>
  </si>
  <si>
    <t xml:space="preserve">FL-0061</t>
  </si>
  <si>
    <t xml:space="preserve">warm neutral; cream marble, white, brass</t>
  </si>
  <si>
    <t xml:space="preserve">clawfoot tub and wall sconces, classic leaning</t>
  </si>
  <si>
    <t xml:space="preserve">Ronnie George (@realestateron)</t>
  </si>
  <si>
    <t xml:space="preserve">https://unsplash.com/photos/m78oBvRHBm0</t>
  </si>
  <si>
    <t xml:space="preserve">FL-0062</t>
  </si>
  <si>
    <t xml:space="preserve">warm neutral with dark stone; brown marble, grey, white</t>
  </si>
  <si>
    <t xml:space="preserve">LED mirror and recessed niches; compact wet area similar to a condo bathroom</t>
  </si>
  <si>
    <t xml:space="preserve">https://unsplash.com/photos/lXHnEe5AGVo</t>
  </si>
  <si>
    <t xml:space="preserve">FL-0063</t>
  </si>
  <si>
    <t xml:space="preserve">cool neutral; grey, white, black fittings</t>
  </si>
  <si>
    <t xml:space="preserve">double vanity</t>
  </si>
  <si>
    <t xml:space="preserve">Franco Debartolo (@francotheshooter)</t>
  </si>
  <si>
    <t xml:space="preserve">https://unsplash.com/photos/iI2VvS1Prwk</t>
  </si>
  <si>
    <t xml:space="preserve">FL-0064</t>
  </si>
  <si>
    <t xml:space="preserve">earthy; concrete grey, white, green</t>
  </si>
  <si>
    <t xml:space="preserve">concrete</t>
  </si>
  <si>
    <t xml:space="preserve">freestanding tub with planting</t>
  </si>
  <si>
    <t xml:space="preserve">Jared Rice (@jareddrice)</t>
  </si>
  <si>
    <t xml:space="preserve">https://unsplash.com/photos/PibraWHb4h8</t>
  </si>
  <si>
    <t xml:space="preserve">FL-0065</t>
  </si>
  <si>
    <t xml:space="preserve">monochrome with green; white, black, leaf print</t>
  </si>
  <si>
    <t xml:space="preserve">botanical wallpaper feature wall, cheap route to the look</t>
  </si>
  <si>
    <t xml:space="preserve">Albert Vincent Wu (@albertvincentwu)</t>
  </si>
  <si>
    <t xml:space="preserve">https://unsplash.com/photos/W1YxJ_CkpZo</t>
  </si>
  <si>
    <t xml:space="preserve">FL-0066</t>
  </si>
  <si>
    <t xml:space="preserve">study</t>
  </si>
  <si>
    <t xml:space="preserve">earthy; walnut, tan</t>
  </si>
  <si>
    <t xml:space="preserve">dark wood</t>
  </si>
  <si>
    <t xml:space="preserve">natural-led; cool task</t>
  </si>
  <si>
    <t xml:space="preserve">full timber wall panelling</t>
  </si>
  <si>
    <t xml:space="preserve">Ryan Ancill (@ryanancill)</t>
  </si>
  <si>
    <t xml:space="preserve">https://unsplash.com/photos/5684tm9pat8</t>
  </si>
  <si>
    <t xml:space="preserve">FL-0067</t>
  </si>
  <si>
    <t xml:space="preserve">light wood</t>
  </si>
  <si>
    <t xml:space="preserve">very sparse, suits a small HDB study</t>
  </si>
  <si>
    <t xml:space="preserve">Andrew Neel (@andrewtneel)</t>
  </si>
  <si>
    <t xml:space="preserve">https://unsplash.com/photos/Z_pg_rltaKE</t>
  </si>
  <si>
    <t xml:space="preserve">FL-0068</t>
  </si>
  <si>
    <t xml:space="preserve">bold; forest green, white, oak</t>
  </si>
  <si>
    <t xml:space="preserve">Collov Home Design (@collovhome)</t>
  </si>
  <si>
    <t xml:space="preserve">https://unsplash.com/photos/UUsQk_9bdR8</t>
  </si>
  <si>
    <t xml:space="preserve">FL-0069</t>
  </si>
  <si>
    <t xml:space="preserve">cool neutral; white, grey</t>
  </si>
  <si>
    <t xml:space="preserve">simple WFH corner</t>
  </si>
  <si>
    <t xml:space="preserve">Arthur Lambillotte (@artlambi)</t>
  </si>
  <si>
    <t xml:space="preserve">https://unsplash.com/photos/sSJ44vZRTHw</t>
  </si>
  <si>
    <t xml:space="preserve">FL-0070</t>
  </si>
  <si>
    <t xml:space="preserve">cool neutral; white, grey, marble</t>
  </si>
  <si>
    <t xml:space="preserve">marble desk; image is dim and cropped</t>
  </si>
  <si>
    <t xml:space="preserve">https://unsplash.com/photos/A7dlCce015A</t>
  </si>
  <si>
    <t xml:space="preserve">FL-0071</t>
  </si>
  <si>
    <t xml:space="preserve">bold; teal, walnut, grey</t>
  </si>
  <si>
    <t xml:space="preserve">velvet accent chairs, track lighting</t>
  </si>
  <si>
    <t xml:space="preserve">Gian Paolo Aliatis (@gianpaoloaliatis)</t>
  </si>
  <si>
    <t xml:space="preserve">https://unsplash.com/photos/EJSNrTzz6xk</t>
  </si>
  <si>
    <t xml:space="preserve">FL-0072</t>
  </si>
  <si>
    <t xml:space="preserve">warm neutral; teak, white</t>
  </si>
  <si>
    <t xml:space="preserve">small footprint, suits a spare HDB bedroom</t>
  </si>
  <si>
    <t xml:space="preserve">https://unsplash.com/photos/wDFwfdH6aEA</t>
  </si>
  <si>
    <t xml:space="preserve">FL-0073</t>
  </si>
  <si>
    <t xml:space="preserve">warm neutral; white, cream, grey</t>
  </si>
  <si>
    <t xml:space="preserve">wall panelling, glass-top desk, window seat</t>
  </si>
  <si>
    <t xml:space="preserve">https://unsplash.com/photos/jwpuanZNwg8</t>
  </si>
  <si>
    <t xml:space="preserve">FL-0074</t>
  </si>
  <si>
    <t xml:space="preserve">cool neutral; concrete grey, white</t>
  </si>
  <si>
    <t xml:space="preserve">overlaps with industrial</t>
  </si>
  <si>
    <t xml:space="preserve">TheStandingDesk (@thestandingdesk)</t>
  </si>
  <si>
    <t xml:space="preserve">https://unsplash.com/photos/9qaKxU20GjY</t>
  </si>
  <si>
    <t xml:space="preserve">FL-0075</t>
  </si>
  <si>
    <t xml:space="preserve">warm neutral; white, cherry wood</t>
  </si>
  <si>
    <t xml:space="preserve">built-in desk under window with bookshelves</t>
  </si>
  <si>
    <t xml:space="preserve">https://unsplash.com/photos/Mb-lGau6K5U</t>
  </si>
  <si>
    <t xml:space="preserve">FL-0076</t>
  </si>
  <si>
    <t xml:space="preserve">warm neutral with green; white, walnut</t>
  </si>
  <si>
    <t xml:space="preserve">plant-heavy styling does most of the work</t>
  </si>
  <si>
    <t xml:space="preserve">Annie Spratt (@anniespratt)</t>
  </si>
  <si>
    <t xml:space="preserve">https://unsplash.com/photos/krEX3ehhezs</t>
  </si>
  <si>
    <t xml:space="preserve">FL-0077</t>
  </si>
  <si>
    <t xml:space="preserve">warm neutral; honey wood, white</t>
  </si>
  <si>
    <t xml:space="preserve">full timber built-ins with wall-mounted aircon, SG-typical; weak tropical fit; likely a 3D render</t>
  </si>
  <si>
    <t xml:space="preserve">Caroline Badran (@___atmos)</t>
  </si>
  <si>
    <t xml:space="preserve">https://unsplash.com/photos/IAKubWDzTQA</t>
  </si>
  <si>
    <t xml:space="preserve">FL-0078</t>
  </si>
  <si>
    <t xml:space="preserve">monochrome; white, concrete grey, black</t>
  </si>
  <si>
    <t xml:space="preserve">exposed concrete ceiling at apartment scale; easiest industrial look for a flat</t>
  </si>
  <si>
    <t xml:space="preserve">Suzanne Rushton (@suzanne_ella)</t>
  </si>
  <si>
    <t xml:space="preserve">https://unsplash.com/photos/l_SQo7xwJGk</t>
  </si>
  <si>
    <t xml:space="preserve">FL-0079</t>
  </si>
  <si>
    <t xml:space="preserve">cool neutral; concrete grey, charcoal, walnut</t>
  </si>
  <si>
    <t xml:space="preserve">full concrete-finish walls; likely a 3D render</t>
  </si>
  <si>
    <t xml:space="preserve">Puscas Adryan (@adryan_studio)</t>
  </si>
  <si>
    <t xml:space="preserve">https://unsplash.com/photos/Dua0qvBmBtY</t>
  </si>
  <si>
    <t xml:space="preserve">FL-0080</t>
  </si>
  <si>
    <t xml:space="preserve">warm neutral; oak, white, stainless</t>
  </si>
  <si>
    <t xml:space="preserve">light oak cabinets and open shelving on a single wall, very achievable in an HDB kitchen</t>
  </si>
  <si>
    <t xml:space="preserve">https://unsplash.com/photos/E2XW7BvfRQg</t>
  </si>
  <si>
    <t xml:space="preserve">FL-0081</t>
  </si>
  <si>
    <t xml:space="preserve">low oak run with a single open shelf, very sparse</t>
  </si>
  <si>
    <t xml:space="preserve">Nord Est Studio (@nordeststudio)</t>
  </si>
  <si>
    <t xml:space="preserve">https://unsplash.com/photos/uhv5wEZiz0M</t>
  </si>
  <si>
    <t xml:space="preserve">FL-0082</t>
  </si>
  <si>
    <t xml:space="preserve">earthy; brick red, rust, grey</t>
  </si>
  <si>
    <t xml:space="preserve">metal; light wood; concrete</t>
  </si>
  <si>
    <t xml:space="preserve">exposed brick and arched window; sparse styling</t>
  </si>
  <si>
    <t xml:space="preserve">Sunguk Kim (@sunyu)</t>
  </si>
  <si>
    <t xml:space="preserve">https://unsplash.com/photos/GbTDqXJ5jbs</t>
  </si>
  <si>
    <t xml:space="preserve">FL-0083</t>
  </si>
  <si>
    <t xml:space="preserve">warm neutral; whitewashed brick, walnut, black</t>
  </si>
  <si>
    <t xml:space="preserve">long wall desk with cage lamp; may be a shared workspace rather than a home</t>
  </si>
  <si>
    <t xml:space="preserve">Doug Greenman (@digndoug)</t>
  </si>
  <si>
    <t xml:space="preserve">https://unsplash.com/photos/iGSVkM_6Bfk</t>
  </si>
  <si>
    <t xml:space="preserve">FL-0084</t>
  </si>
  <si>
    <t xml:space="preserve">dining</t>
  </si>
  <si>
    <t xml:space="preserve">warm neutral; oak, cream, green</t>
  </si>
  <si>
    <t xml:space="preserve">lattice shelving used as a room divider between dining and living, works in an open HDB plan</t>
  </si>
  <si>
    <t xml:space="preserve">https://unsplash.com/photos/2cfj0Y5ch00</t>
  </si>
  <si>
    <t xml:space="preserve">FL-0085</t>
  </si>
  <si>
    <t xml:space="preserve">monochrome with wood; white, black, oak</t>
  </si>
  <si>
    <t xml:space="preserve">wishbone-style chairs round a black table</t>
  </si>
  <si>
    <t xml:space="preserve">https://unsplash.com/photos/aYjdg6wZrOU</t>
  </si>
  <si>
    <t xml:space="preserve">FL-0086</t>
  </si>
  <si>
    <t xml:space="preserve">cool neutral; grey, white, oak</t>
  </si>
  <si>
    <t xml:space="preserve">long table for eight with upholstered chairs</t>
  </si>
  <si>
    <t xml:space="preserve">https://unsplash.com/photos/fE3kcMhB1oc</t>
  </si>
  <si>
    <t xml:space="preserve">FL-0087</t>
  </si>
  <si>
    <t xml:space="preserve">earthy; walnut, black steel, brick</t>
  </si>
  <si>
    <t xml:space="preserve">metal; dark wood</t>
  </si>
  <si>
    <t xml:space="preserve">double-height loft with steel stair, landed or penthouse only</t>
  </si>
  <si>
    <t xml:space="preserve">ULISES RAMIREZ (@ulises_rplt)</t>
  </si>
  <si>
    <t xml:space="preserve">https://unsplash.com/photos/tqCfLSHgaIo</t>
  </si>
  <si>
    <t xml:space="preserve">FL-0088</t>
  </si>
  <si>
    <t xml:space="preserve">warm neutral; walnut, white, black</t>
  </si>
  <si>
    <t xml:space="preserve">walnut table and sideboard under dome pendants, open to kitchen</t>
  </si>
  <si>
    <t xml:space="preserve">https://unsplash.com/photos/v9096DgeVeA</t>
  </si>
  <si>
    <t xml:space="preserve">FL-0089</t>
  </si>
  <si>
    <t xml:space="preserve">monochrome with brass; white, black, brass</t>
  </si>
  <si>
    <t xml:space="preserve">feature pendant</t>
  </si>
  <si>
    <t xml:space="preserve">sputnik chandelier and moulded shell chairs</t>
  </si>
  <si>
    <t xml:space="preserve">https://unsplash.com/photos/-yJ-99VvnfE</t>
  </si>
  <si>
    <t xml:space="preserve">FL-0090</t>
  </si>
  <si>
    <t xml:space="preserve">warm neutral; cream, white marble, gold</t>
  </si>
  <si>
    <t xml:space="preserve">marble; fabric-heavy; metal</t>
  </si>
  <si>
    <t xml:space="preserve">crystal pendant and marble floor, wall-mounted aircon typical of SG condos</t>
  </si>
  <si>
    <t xml:space="preserve">Jonathan Borba (@jonathanborba)</t>
  </si>
  <si>
    <t xml:space="preserve">https://unsplash.com/photos/4a-xheeuZA0</t>
  </si>
  <si>
    <t xml:space="preserve">FL-0091</t>
  </si>
  <si>
    <t xml:space="preserve">cool neutral; white, black, oak</t>
  </si>
  <si>
    <t xml:space="preserve">single pendant over a simple table, low cost to replicate</t>
  </si>
  <si>
    <t xml:space="preserve">ONNO (@onnostudio)</t>
  </si>
  <si>
    <t xml:space="preserve">https://unsplash.com/photos/zGKRmwzplVc</t>
  </si>
  <si>
    <t xml:space="preserve">FL-0092</t>
  </si>
  <si>
    <t xml:space="preserve">earthy; cream, rattan, green</t>
  </si>
  <si>
    <t xml:space="preserve">rattan; light wood</t>
  </si>
  <si>
    <t xml:space="preserve">rattan chairs and botanical art, cheap to replicate</t>
  </si>
  <si>
    <t xml:space="preserve">https://unsplash.com/photos/Y4mBZQ240Vc</t>
  </si>
  <si>
    <t xml:space="preserve">FL-0093</t>
  </si>
  <si>
    <t xml:space="preserve">secondary bedroom</t>
  </si>
  <si>
    <t xml:space="preserve">warm neutral; white, beige, grey</t>
  </si>
  <si>
    <t xml:space="preserve">nursery with cot and single bed, suits a growing family</t>
  </si>
  <si>
    <t xml:space="preserve">https://unsplash.com/photos/wN63YFU_JXk</t>
  </si>
  <si>
    <t xml:space="preserve">FL-0094</t>
  </si>
  <si>
    <t xml:space="preserve">warm neutral; cream, rust, pale wood</t>
  </si>
  <si>
    <t xml:space="preserve">child's room with canopy and low desk</t>
  </si>
  <si>
    <t xml:space="preserve">Shoham Avisrur (@shoham_avisrur)</t>
  </si>
  <si>
    <t xml:space="preserve">https://unsplash.com/photos/iSO22I2l5uc</t>
  </si>
  <si>
    <t xml:space="preserve">FL-0095</t>
  </si>
  <si>
    <t xml:space="preserve">plain guest room with upholstered headboard and wall sconce</t>
  </si>
  <si>
    <t xml:space="preserve">ubeyonroad (@ubeyonroad)</t>
  </si>
  <si>
    <t xml:space="preserve">https://unsplash.com/photos/wItbwu49Wdc</t>
  </si>
  <si>
    <t xml:space="preserve">FL-0096</t>
  </si>
  <si>
    <t xml:space="preserve">earthy; olive, burnt orange, beige</t>
  </si>
  <si>
    <t xml:space="preserve">study desk under window beside the bed</t>
  </si>
  <si>
    <t xml:space="preserve">Aim | @photobypitcha (@aimpitcha)</t>
  </si>
  <si>
    <t xml:space="preserve">https://unsplash.com/photos/jM-dZdFtnbk</t>
  </si>
  <si>
    <t xml:space="preserve">FL-0097</t>
  </si>
  <si>
    <t xml:space="preserve">warm neutral; greige, sage, white</t>
  </si>
  <si>
    <t xml:space="preserve">fabric-heavy; metal; light wood</t>
  </si>
  <si>
    <t xml:space="preserve">bed plus compact desk, fits a common HDB bedroom; likely a 3D render</t>
  </si>
  <si>
    <t xml:space="preserve">https://unsplash.com/photos/PhOABIwQrRE</t>
  </si>
  <si>
    <t xml:space="preserve">FL-0098</t>
  </si>
  <si>
    <t xml:space="preserve">balcony</t>
  </si>
  <si>
    <t xml:space="preserve">warm neutral; grey, oak, charcoal</t>
  </si>
  <si>
    <t xml:space="preserve">light wood; rattan; metal</t>
  </si>
  <si>
    <t xml:space="preserve">hanging egg chair and timber decking on a high-rise balcony, close to a SG condo</t>
  </si>
  <si>
    <t xml:space="preserve">https://unsplash.com/photos/iqGUN6GIl78</t>
  </si>
  <si>
    <t xml:space="preserve">FL-0099</t>
  </si>
  <si>
    <t xml:space="preserve">earthy; brick red, black, green</t>
  </si>
  <si>
    <t xml:space="preserve">metal; concrete</t>
  </si>
  <si>
    <t xml:space="preserve">black metal bistro set with potted plants</t>
  </si>
  <si>
    <t xml:space="preserve">Kateryna Melnyk (@katranos)</t>
  </si>
  <si>
    <t xml:space="preserve">https://unsplash.com/photos/PykCR7AajYc</t>
  </si>
  <si>
    <t xml:space="preserve">FL-0100</t>
  </si>
  <si>
    <t xml:space="preserve">cool neutral; white, black, teak</t>
  </si>
  <si>
    <t xml:space="preserve">two-seat bistro set with a high-rise city view</t>
  </si>
  <si>
    <t xml:space="preserve">Frugal Flyer (@frugalflyer)</t>
  </si>
  <si>
    <t xml:space="preserve">https://unsplash.com/photos/Szi36WVr7M4</t>
  </si>
  <si>
    <t xml:space="preserve">FL-0101</t>
  </si>
  <si>
    <t xml:space="preserve">entryway</t>
  </si>
  <si>
    <t xml:space="preserve">full-height louvred shoe and storage cabinets along a narrow corridor, HDB-style</t>
  </si>
  <si>
    <t xml:space="preserve">Point3D Commercial Imaging Ltd. (@3dottawa)</t>
  </si>
  <si>
    <t xml:space="preserve">https://unsplash.com/photos/e0ReP2ZWIMw</t>
  </si>
  <si>
    <t xml:space="preserve">FL-0102</t>
  </si>
  <si>
    <t xml:space="preserve">warm neutral; white, oak, black</t>
  </si>
  <si>
    <t xml:space="preserve">console, round mirror and bench, gallery wall</t>
  </si>
  <si>
    <t xml:space="preserve">https://unsplash.com/photos/xJ14RuLV9zI</t>
  </si>
  <si>
    <t xml:space="preserve">Images per room and style (counts update from the Library tab)</t>
  </si>
  <si>
    <t xml:space="preserve">Room</t>
  </si>
  <si>
    <t xml:space="preserve">Total</t>
  </si>
  <si>
    <t xml:space="preserve">By budget tier</t>
  </si>
  <si>
    <t xml:space="preserve">Likely 3D renders</t>
  </si>
  <si>
    <t xml:space="preserve">Tier</t>
  </si>
  <si>
    <t xml:space="preserve">Whole-home budget (SGD)</t>
  </si>
  <si>
    <t xml:space="preserve">What the reference photos show</t>
  </si>
  <si>
    <t xml:space="preserve">Typical fit</t>
  </si>
  <si>
    <t xml:space="preserve">Under 40,000</t>
  </si>
  <si>
    <t xml:space="preserve">Laminate carpentry, vinyl flooring, loose furniture, few built-ins</t>
  </si>
  <si>
    <t xml:space="preserve">BTO and smaller HDB flats, new condos with light scope</t>
  </si>
  <si>
    <t xml:space="preserve">40,000 to 80,000</t>
  </si>
  <si>
    <t xml:space="preserve">Custom carpentry, feature walls, cove lighting, upgraded bathrooms</t>
  </si>
  <si>
    <t xml:space="preserve">Most 4 to 5-room HDB and new condo renovations</t>
  </si>
  <si>
    <t xml:space="preserve">Above 80,000</t>
  </si>
  <si>
    <t xml:space="preserve">Stone, extensive joinery, bespoke lighting, structural changes</t>
  </si>
  <si>
    <t xml:space="preserve">Resale condos with full works, landed homes (usually from 120,000)</t>
  </si>
  <si>
    <t xml:space="preserve">How to use</t>
  </si>
  <si>
    <t xml:space="preserve">The tier on each image describes its finish level, not a price for the client's home. The homeowner's Stage 2 bracket maps onto the tier. Tiers on images are visual estimates and should be confirmed.</t>
  </si>
  <si>
    <t xml:space="preserve">Evidence strength</t>
  </si>
  <si>
    <t xml:space="preserve">Boundaries come from 2026 contractor and interior design firm guides. About eight firms give consistent ranges, but none is independent survey data, so the brackets are indicative planning anchors.</t>
  </si>
  <si>
    <t xml:space="preserve">Sources</t>
  </si>
  <si>
    <t xml:space="preserve">Design Authority, Singapore Renovation Cost 2026 (3-room BTO about 25,000 to 45,000; 4-room BTO 40,300 to 62,300; resale 20 to 40% higher): https://design-authority.com/singapore-renovation-cost-2026-guide/</t>
  </si>
  <si>
    <t xml:space="preserve">RCS, HDB Renovation Packages 2026 (a 25,000 budget works for BTO only): https://renovationcontractorsingapore.com/blogs/news/hdb-renovation-packages-price-list-singapore-2026</t>
  </si>
  <si>
    <t xml:space="preserve">ShiokNest, Condo Renovation Cost 2026 (new condo 25,000 to 70,000; resale condo 48,000 to 92,000): https://shioknest.com/guides/guide-renovation-budgeting-new-condo-owners</t>
  </si>
  <si>
    <t xml:space="preserve">T Se7en, Home Renovation Cost Singapore 2026 (landed from about 120,000): https://www.tse7en.com/home-renovation-cost-in-singapore/</t>
  </si>
  <si>
    <t xml:space="preserve">Field</t>
  </si>
  <si>
    <t xml:space="preserve">Allowed values</t>
  </si>
  <si>
    <t xml:space="preserve">Values per image</t>
  </si>
  <si>
    <t xml:space="preserve">living, master bedroom, kitchen, bathroom, study, dining, secondary bedroom, balcony, entryway</t>
  </si>
  <si>
    <t xml:space="preserve">one</t>
  </si>
  <si>
    <t xml:space="preserve">HDB, condo, landed</t>
  </si>
  <si>
    <t xml:space="preserve">multi</t>
  </si>
  <si>
    <t xml:space="preserve">Scandinavian, Japandi, modern minimalist, industrial, mid-century, contemporary, tropical, modern luxe</t>
  </si>
  <si>
    <t xml:space="preserve">warm neutral, cool neutral, monochrome, earthy, pastel, bold, followed by dominant colours</t>
  </si>
  <si>
    <t xml:space="preserve">light wood, dark wood, rattan, marble, terrazzo, concrete, metal, fabric-heavy</t>
  </si>
  <si>
    <t xml:space="preserve">natural-led, warm ambient, cool task, feature pendant, cove (plus fixtures noted such as ceiling fan, floor lamp)</t>
  </si>
  <si>
    <t xml:space="preserve">open concept, semi-open, closed</t>
  </si>
  <si>
    <t xml:space="preserve">smooth, soft layered, woven, raw</t>
  </si>
  <si>
    <t xml:space="preserve">low-profile, built-in heavy, freestanding, statement piece</t>
  </si>
  <si>
    <t xml:space="preserve">calm, cosy, airy, dramatic, playful</t>
  </si>
  <si>
    <t xml:space="preserve">Essential, Mid-range, Premium (see Budget tiers tab)</t>
  </si>
  <si>
    <t xml:space="preserve">No, Likely (flagged from visual cues and the uploader being a 3D or design studio)</t>
  </si>
  <si>
    <t xml:space="preserve">Client uploads are extracted into the same vocabulary so their tags can rank library images directly.</t>
  </si>
  <si>
    <t xml:space="preserve">Item</t>
  </si>
  <si>
    <t xml:space="preserve">Detail</t>
  </si>
  <si>
    <t xml:space="preserve">Thin cells</t>
  </si>
  <si>
    <t xml:space="preserve">Balcony and entryway have two or three images each and are not split by style. Study has one image each for contemporary and modern luxe. Secondary bedroom covers four styles only.</t>
  </si>
  <si>
    <t xml:space="preserve">Reclassified row</t>
  </si>
  <si>
    <t xml:space="preserve">The earlier Japandi kitchen (Unsplash lE7pmNZZ3Fw) is now tagged modern minimalist, since two stronger Japandi kitchens were added.</t>
  </si>
  <si>
    <t xml:space="preserve">Singapore-specific spaces</t>
  </si>
  <si>
    <t xml:space="preserve">Few images show HDB features such as bomb shelters or service yards. Rows noting HDB-like footprints (louvred shoe cabinets, compact galley kitchens, washers in bathrooms, wall-mounted aircon) are the closest matches.</t>
  </si>
  <si>
    <t xml:space="preserve">Renders</t>
  </si>
  <si>
    <t xml:space="preserve">Several images are likely 3D renders rather than photographs. They are marked in the Photo or render column. Keep them if the demo only needs style references, or swap them if you want real homes only.</t>
  </si>
  <si>
    <t xml:space="preserve">Tag method</t>
  </si>
  <si>
    <t xml:space="preserve">Tags were assigned by eye from thumbnails. Budget tier and housing fit are the least reliable fields and should be spot-checked.</t>
  </si>
  <si>
    <t xml:space="preserve">All images are free Unsplash images (Unsplash+ excluded). The Unsplash Licence allows commercial use but bars compiling photos to build a similar or competing service. A tagged library is probably fine for a competition demo, but a production version would need its own licensed library.</t>
  </si>
  <si>
    <t xml:space="preserve">Attribution</t>
  </si>
  <si>
    <t xml:space="preserve">Unsplash does not require credit, but crediting the photographer in the app is good practice and the Photographer column supports that.</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</si>
</sst>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u val="single"/>
      <sz val="10"/>
      <color rgb="FF1F5FA8"/>
      <name val="Arial"/>
      <family val="0"/>
      <charset val="1"/>
    </font>
    <font>
      <b val="true"/>
      <sz val="12"/>
      <name val="Arial"/>
      <family val="0"/>
      <charset val="1"/>
    </font>
    <font>
      <b val="true"/>
      <sz val="11"/>
      <name val="Arial"/>
      <family val="0"/>
      <charset val="1"/>
    </font>
  </fonts>
  <fills count="3">
    <fill>
      <patternFill patternType="none"/>
    </fill>
    <fill>
      <patternFill patternType="gray125"/>
    </fill>
    <fill>
      <patternFill patternType="solid">
        <fgColor rgb="FF3B4A3F"/>
        <bgColor rgb="FF333300"/>
      </patternFill>
    </fill>
  </fills>
  <borders count="2">
    <border diagonalUp="false" diagonalDown="false">
      <left/>
      <right/>
      <top/>
      <bottom/>
      <diagonal/>
    </border>
    <border diagonalUp="false" diagonalDown="false">
      <left/>
      <right/>
      <top/>
      <bottom style="thin">
        <color rgb="FFD0D0C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3B4A3F"/>
          <bgColor rgb="FF000000"/>
        </patternFill>
      </fill>
    </dxf>
    <dxf>
      <fill>
        <patternFill patternType="solid">
          <bgColor rgb="FF000000"/>
        </patternFill>
      </fill>
    </dxf>
    <dxf>
      <fill>
        <patternFill patternType="solid">
          <fgColor rgb="FFFFFFFF"/>
          <bgColor rgb="FF000000"/>
        </patternFill>
      </fill>
    </dxf>
    <dxf>
      <fill>
        <patternFill patternType="solid">
          <fgColor rgb="FF1F5FA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D0C8"/>
      <rgbColor rgb="FF808080"/>
      <rgbColor rgb="FF9999FF"/>
      <rgbColor rgb="FF993366"/>
      <rgbColor rgb="FFFFFFCC"/>
      <rgbColor rgb="FFCCFFFF"/>
      <rgbColor rgb="FF660066"/>
      <rgbColor rgb="FFFF8080"/>
      <rgbColor rgb="FF1F5FA8"/>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B4A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unsplash.com/photos/RDg0Xz_KBdY" TargetMode="External"/><Relationship Id="rId2" Type="http://schemas.openxmlformats.org/officeDocument/2006/relationships/hyperlink" Target="https://unsplash.com/photos/mqEuPwpEvuE" TargetMode="External"/><Relationship Id="rId3" Type="http://schemas.openxmlformats.org/officeDocument/2006/relationships/hyperlink" Target="https://unsplash.com/photos/c0JoR_-2x3E" TargetMode="External"/><Relationship Id="rId4" Type="http://schemas.openxmlformats.org/officeDocument/2006/relationships/hyperlink" Target="https://unsplash.com/photos/raxI_EcyfGw" TargetMode="External"/><Relationship Id="rId5" Type="http://schemas.openxmlformats.org/officeDocument/2006/relationships/hyperlink" Target="https://unsplash.com/photos/8ccOqbNdp1A" TargetMode="External"/><Relationship Id="rId6" Type="http://schemas.openxmlformats.org/officeDocument/2006/relationships/hyperlink" Target="https://unsplash.com/photos/nAFuA8t5K9Y" TargetMode="External"/><Relationship Id="rId7" Type="http://schemas.openxmlformats.org/officeDocument/2006/relationships/hyperlink" Target="https://unsplash.com/photos/ugIfsN9l_q4" TargetMode="External"/><Relationship Id="rId8" Type="http://schemas.openxmlformats.org/officeDocument/2006/relationships/hyperlink" Target="https://unsplash.com/photos/FKZsWsFiNDs" TargetMode="External"/><Relationship Id="rId9" Type="http://schemas.openxmlformats.org/officeDocument/2006/relationships/hyperlink" Target="https://unsplash.com/photos/G88ehihe6wQ" TargetMode="External"/><Relationship Id="rId10" Type="http://schemas.openxmlformats.org/officeDocument/2006/relationships/hyperlink" Target="https://unsplash.com/photos/q3Qd86sfaoU" TargetMode="External"/><Relationship Id="rId11" Type="http://schemas.openxmlformats.org/officeDocument/2006/relationships/hyperlink" Target="https://unsplash.com/photos/L7EwHkq1B2s" TargetMode="External"/><Relationship Id="rId12" Type="http://schemas.openxmlformats.org/officeDocument/2006/relationships/hyperlink" Target="https://unsplash.com/photos/gBqNmxSxnAM" TargetMode="External"/><Relationship Id="rId13" Type="http://schemas.openxmlformats.org/officeDocument/2006/relationships/hyperlink" Target="https://unsplash.com/photos/-QCjahEjubY" TargetMode="External"/><Relationship Id="rId14" Type="http://schemas.openxmlformats.org/officeDocument/2006/relationships/hyperlink" Target="https://unsplash.com/photos/nhzhEZvhZ1M" TargetMode="External"/><Relationship Id="rId15" Type="http://schemas.openxmlformats.org/officeDocument/2006/relationships/hyperlink" Target="https://unsplash.com/photos/vIbxvHj9m9g" TargetMode="External"/><Relationship Id="rId16" Type="http://schemas.openxmlformats.org/officeDocument/2006/relationships/hyperlink" Target="https://unsplash.com/photos/SZ-DsEZxzlg" TargetMode="External"/><Relationship Id="rId17" Type="http://schemas.openxmlformats.org/officeDocument/2006/relationships/hyperlink" Target="https://unsplash.com/photos/-jk2BBoQxSk" TargetMode="External"/><Relationship Id="rId18" Type="http://schemas.openxmlformats.org/officeDocument/2006/relationships/hyperlink" Target="https://unsplash.com/photos/p2oz7Bkk5t4" TargetMode="External"/><Relationship Id="rId19" Type="http://schemas.openxmlformats.org/officeDocument/2006/relationships/hyperlink" Target="https://unsplash.com/photos/5OWwWbutc_g" TargetMode="External"/><Relationship Id="rId20" Type="http://schemas.openxmlformats.org/officeDocument/2006/relationships/hyperlink" Target="https://unsplash.com/photos/OihXclRy8n0" TargetMode="External"/><Relationship Id="rId21" Type="http://schemas.openxmlformats.org/officeDocument/2006/relationships/hyperlink" Target="https://unsplash.com/photos/7pCFUybP_P8" TargetMode="External"/><Relationship Id="rId22" Type="http://schemas.openxmlformats.org/officeDocument/2006/relationships/hyperlink" Target="https://unsplash.com/photos/b0DHABrkRcM" TargetMode="External"/><Relationship Id="rId23" Type="http://schemas.openxmlformats.org/officeDocument/2006/relationships/hyperlink" Target="https://unsplash.com/photos/IUTewwzaFeM" TargetMode="External"/><Relationship Id="rId24" Type="http://schemas.openxmlformats.org/officeDocument/2006/relationships/hyperlink" Target="https://unsplash.com/photos/8FzQn08ukM8" TargetMode="External"/><Relationship Id="rId25" Type="http://schemas.openxmlformats.org/officeDocument/2006/relationships/hyperlink" Target="https://unsplash.com/photos/RnAo-ha4bpM" TargetMode="External"/><Relationship Id="rId26" Type="http://schemas.openxmlformats.org/officeDocument/2006/relationships/hyperlink" Target="https://unsplash.com/photos/r8i3RwrVcRk" TargetMode="External"/><Relationship Id="rId27" Type="http://schemas.openxmlformats.org/officeDocument/2006/relationships/hyperlink" Target="https://unsplash.com/photos/vz9IbCAXHKQ" TargetMode="External"/><Relationship Id="rId28" Type="http://schemas.openxmlformats.org/officeDocument/2006/relationships/hyperlink" Target="https://unsplash.com/photos/NLl4DIDCQFM" TargetMode="External"/><Relationship Id="rId29" Type="http://schemas.openxmlformats.org/officeDocument/2006/relationships/hyperlink" Target="https://unsplash.com/photos/0tVimluL_ls" TargetMode="External"/><Relationship Id="rId30" Type="http://schemas.openxmlformats.org/officeDocument/2006/relationships/hyperlink" Target="https://unsplash.com/photos/ErDrzSvSNv4" TargetMode="External"/><Relationship Id="rId31" Type="http://schemas.openxmlformats.org/officeDocument/2006/relationships/hyperlink" Target="https://unsplash.com/photos/u-RIsXlI8Q8" TargetMode="External"/><Relationship Id="rId32" Type="http://schemas.openxmlformats.org/officeDocument/2006/relationships/hyperlink" Target="https://unsplash.com/photos/T5pL6ciEn-I" TargetMode="External"/><Relationship Id="rId33" Type="http://schemas.openxmlformats.org/officeDocument/2006/relationships/hyperlink" Target="https://unsplash.com/photos/W-wNHts_g3I" TargetMode="External"/><Relationship Id="rId34" Type="http://schemas.openxmlformats.org/officeDocument/2006/relationships/hyperlink" Target="https://unsplash.com/photos/lE7pmNZZ3Fw" TargetMode="External"/><Relationship Id="rId35" Type="http://schemas.openxmlformats.org/officeDocument/2006/relationships/hyperlink" Target="https://unsplash.com/photos/cmuuvD2osWs" TargetMode="External"/><Relationship Id="rId36" Type="http://schemas.openxmlformats.org/officeDocument/2006/relationships/hyperlink" Target="https://unsplash.com/photos/j6MCxix3o2c" TargetMode="External"/><Relationship Id="rId37" Type="http://schemas.openxmlformats.org/officeDocument/2006/relationships/hyperlink" Target="https://unsplash.com/photos/AgHJm3uKr4U" TargetMode="External"/><Relationship Id="rId38" Type="http://schemas.openxmlformats.org/officeDocument/2006/relationships/hyperlink" Target="https://unsplash.com/photos/kAa2xEs_jZo" TargetMode="External"/><Relationship Id="rId39" Type="http://schemas.openxmlformats.org/officeDocument/2006/relationships/hyperlink" Target="https://unsplash.com/photos/4jxGry4pXtc" TargetMode="External"/><Relationship Id="rId40" Type="http://schemas.openxmlformats.org/officeDocument/2006/relationships/hyperlink" Target="https://unsplash.com/photos/Obh4ZS_bbno" TargetMode="External"/><Relationship Id="rId41" Type="http://schemas.openxmlformats.org/officeDocument/2006/relationships/hyperlink" Target="https://unsplash.com/photos/sZ5CteK2r6E" TargetMode="External"/><Relationship Id="rId42" Type="http://schemas.openxmlformats.org/officeDocument/2006/relationships/hyperlink" Target="https://unsplash.com/photos/RryFk4n-vOs" TargetMode="External"/><Relationship Id="rId43" Type="http://schemas.openxmlformats.org/officeDocument/2006/relationships/hyperlink" Target="https://unsplash.com/photos/1jy1WNfqHos" TargetMode="External"/><Relationship Id="rId44" Type="http://schemas.openxmlformats.org/officeDocument/2006/relationships/hyperlink" Target="https://unsplash.com/photos/c318EdSUtK4" TargetMode="External"/><Relationship Id="rId45" Type="http://schemas.openxmlformats.org/officeDocument/2006/relationships/hyperlink" Target="https://unsplash.com/photos/80DAbtNfh4k" TargetMode="External"/><Relationship Id="rId46" Type="http://schemas.openxmlformats.org/officeDocument/2006/relationships/hyperlink" Target="https://unsplash.com/photos/E7yGIdzNE3k" TargetMode="External"/><Relationship Id="rId47" Type="http://schemas.openxmlformats.org/officeDocument/2006/relationships/hyperlink" Target="https://unsplash.com/photos/gijwI4X-7ig" TargetMode="External"/><Relationship Id="rId48" Type="http://schemas.openxmlformats.org/officeDocument/2006/relationships/hyperlink" Target="https://unsplash.com/photos/_yynzKwlZOw" TargetMode="External"/><Relationship Id="rId49" Type="http://schemas.openxmlformats.org/officeDocument/2006/relationships/hyperlink" Target="https://unsplash.com/photos/8R_eeyi5bFg" TargetMode="External"/><Relationship Id="rId50" Type="http://schemas.openxmlformats.org/officeDocument/2006/relationships/hyperlink" Target="https://unsplash.com/photos/Ofidz3G8k0Y" TargetMode="External"/><Relationship Id="rId51" Type="http://schemas.openxmlformats.org/officeDocument/2006/relationships/hyperlink" Target="https://unsplash.com/photos/59YYIR-20xs" TargetMode="External"/><Relationship Id="rId52" Type="http://schemas.openxmlformats.org/officeDocument/2006/relationships/hyperlink" Target="https://unsplash.com/photos/LSKfjiXsbUU" TargetMode="External"/><Relationship Id="rId53" Type="http://schemas.openxmlformats.org/officeDocument/2006/relationships/hyperlink" Target="https://unsplash.com/photos/j7Uv1Y_A7dY" TargetMode="External"/><Relationship Id="rId54" Type="http://schemas.openxmlformats.org/officeDocument/2006/relationships/hyperlink" Target="https://unsplash.com/photos/SWSY0NEicIs" TargetMode="External"/><Relationship Id="rId55" Type="http://schemas.openxmlformats.org/officeDocument/2006/relationships/hyperlink" Target="https://unsplash.com/photos/q-LqibnwN8Y" TargetMode="External"/><Relationship Id="rId56" Type="http://schemas.openxmlformats.org/officeDocument/2006/relationships/hyperlink" Target="https://unsplash.com/photos/yH1k2Qp86Tk" TargetMode="External"/><Relationship Id="rId57" Type="http://schemas.openxmlformats.org/officeDocument/2006/relationships/hyperlink" Target="https://unsplash.com/photos/trSptCbWxAo" TargetMode="External"/><Relationship Id="rId58" Type="http://schemas.openxmlformats.org/officeDocument/2006/relationships/hyperlink" Target="https://unsplash.com/photos/d5yfKfMSk9o" TargetMode="External"/><Relationship Id="rId59" Type="http://schemas.openxmlformats.org/officeDocument/2006/relationships/hyperlink" Target="https://unsplash.com/photos/Fuguvv3goCA" TargetMode="External"/><Relationship Id="rId60" Type="http://schemas.openxmlformats.org/officeDocument/2006/relationships/hyperlink" Target="https://unsplash.com/photos/yb9b2wbhxG4" TargetMode="External"/><Relationship Id="rId61" Type="http://schemas.openxmlformats.org/officeDocument/2006/relationships/hyperlink" Target="https://unsplash.com/photos/m78oBvRHBm0" TargetMode="External"/><Relationship Id="rId62" Type="http://schemas.openxmlformats.org/officeDocument/2006/relationships/hyperlink" Target="https://unsplash.com/photos/lXHnEe5AGVo" TargetMode="External"/><Relationship Id="rId63" Type="http://schemas.openxmlformats.org/officeDocument/2006/relationships/hyperlink" Target="https://unsplash.com/photos/iI2VvS1Prwk" TargetMode="External"/><Relationship Id="rId64" Type="http://schemas.openxmlformats.org/officeDocument/2006/relationships/hyperlink" Target="https://unsplash.com/photos/PibraWHb4h8" TargetMode="External"/><Relationship Id="rId65" Type="http://schemas.openxmlformats.org/officeDocument/2006/relationships/hyperlink" Target="https://unsplash.com/photos/W1YxJ_CkpZo" TargetMode="External"/><Relationship Id="rId66" Type="http://schemas.openxmlformats.org/officeDocument/2006/relationships/hyperlink" Target="https://unsplash.com/photos/5684tm9pat8" TargetMode="External"/><Relationship Id="rId67" Type="http://schemas.openxmlformats.org/officeDocument/2006/relationships/hyperlink" Target="https://unsplash.com/photos/Z_pg_rltaKE" TargetMode="External"/><Relationship Id="rId68" Type="http://schemas.openxmlformats.org/officeDocument/2006/relationships/hyperlink" Target="https://unsplash.com/photos/UUsQk_9bdR8" TargetMode="External"/><Relationship Id="rId69" Type="http://schemas.openxmlformats.org/officeDocument/2006/relationships/hyperlink" Target="https://unsplash.com/photos/sSJ44vZRTHw" TargetMode="External"/><Relationship Id="rId70" Type="http://schemas.openxmlformats.org/officeDocument/2006/relationships/hyperlink" Target="https://unsplash.com/photos/A7dlCce015A" TargetMode="External"/><Relationship Id="rId71" Type="http://schemas.openxmlformats.org/officeDocument/2006/relationships/hyperlink" Target="https://unsplash.com/photos/EJSNrTzz6xk" TargetMode="External"/><Relationship Id="rId72" Type="http://schemas.openxmlformats.org/officeDocument/2006/relationships/hyperlink" Target="https://unsplash.com/photos/wDFwfdH6aEA" TargetMode="External"/><Relationship Id="rId73" Type="http://schemas.openxmlformats.org/officeDocument/2006/relationships/hyperlink" Target="https://unsplash.com/photos/jwpuanZNwg8" TargetMode="External"/><Relationship Id="rId74" Type="http://schemas.openxmlformats.org/officeDocument/2006/relationships/hyperlink" Target="https://unsplash.com/photos/9qaKxU20GjY" TargetMode="External"/><Relationship Id="rId75" Type="http://schemas.openxmlformats.org/officeDocument/2006/relationships/hyperlink" Target="https://unsplash.com/photos/Mb-lGau6K5U" TargetMode="External"/><Relationship Id="rId76" Type="http://schemas.openxmlformats.org/officeDocument/2006/relationships/hyperlink" Target="https://unsplash.com/photos/krEX3ehhezs" TargetMode="External"/><Relationship Id="rId77" Type="http://schemas.openxmlformats.org/officeDocument/2006/relationships/hyperlink" Target="https://unsplash.com/photos/IAKubWDzTQA" TargetMode="External"/><Relationship Id="rId78" Type="http://schemas.openxmlformats.org/officeDocument/2006/relationships/hyperlink" Target="https://unsplash.com/photos/l_SQo7xwJGk" TargetMode="External"/><Relationship Id="rId79" Type="http://schemas.openxmlformats.org/officeDocument/2006/relationships/hyperlink" Target="https://unsplash.com/photos/Dua0qvBmBtY" TargetMode="External"/><Relationship Id="rId80" Type="http://schemas.openxmlformats.org/officeDocument/2006/relationships/hyperlink" Target="https://unsplash.com/photos/E2XW7BvfRQg" TargetMode="External"/><Relationship Id="rId81" Type="http://schemas.openxmlformats.org/officeDocument/2006/relationships/hyperlink" Target="https://unsplash.com/photos/uhv5wEZiz0M" TargetMode="External"/><Relationship Id="rId82" Type="http://schemas.openxmlformats.org/officeDocument/2006/relationships/hyperlink" Target="https://unsplash.com/photos/GbTDqXJ5jbs" TargetMode="External"/><Relationship Id="rId83" Type="http://schemas.openxmlformats.org/officeDocument/2006/relationships/hyperlink" Target="https://unsplash.com/photos/iGSVkM_6Bfk" TargetMode="External"/><Relationship Id="rId84" Type="http://schemas.openxmlformats.org/officeDocument/2006/relationships/hyperlink" Target="https://unsplash.com/photos/2cfj0Y5ch00" TargetMode="External"/><Relationship Id="rId85" Type="http://schemas.openxmlformats.org/officeDocument/2006/relationships/hyperlink" Target="https://unsplash.com/photos/aYjdg6wZrOU" TargetMode="External"/><Relationship Id="rId86" Type="http://schemas.openxmlformats.org/officeDocument/2006/relationships/hyperlink" Target="https://unsplash.com/photos/fE3kcMhB1oc" TargetMode="External"/><Relationship Id="rId87" Type="http://schemas.openxmlformats.org/officeDocument/2006/relationships/hyperlink" Target="https://unsplash.com/photos/tqCfLSHgaIo" TargetMode="External"/><Relationship Id="rId88" Type="http://schemas.openxmlformats.org/officeDocument/2006/relationships/hyperlink" Target="https://unsplash.com/photos/v9096DgeVeA" TargetMode="External"/><Relationship Id="rId89" Type="http://schemas.openxmlformats.org/officeDocument/2006/relationships/hyperlink" Target="https://unsplash.com/photos/-yJ-99VvnfE" TargetMode="External"/><Relationship Id="rId90" Type="http://schemas.openxmlformats.org/officeDocument/2006/relationships/hyperlink" Target="https://unsplash.com/photos/4a-xheeuZA0" TargetMode="External"/><Relationship Id="rId91" Type="http://schemas.openxmlformats.org/officeDocument/2006/relationships/hyperlink" Target="https://unsplash.com/photos/zGKRmwzplVc" TargetMode="External"/><Relationship Id="rId92" Type="http://schemas.openxmlformats.org/officeDocument/2006/relationships/hyperlink" Target="https://unsplash.com/photos/Y4mBZQ240Vc" TargetMode="External"/><Relationship Id="rId93" Type="http://schemas.openxmlformats.org/officeDocument/2006/relationships/hyperlink" Target="https://unsplash.com/photos/wN63YFU_JXk" TargetMode="External"/><Relationship Id="rId94" Type="http://schemas.openxmlformats.org/officeDocument/2006/relationships/hyperlink" Target="https://unsplash.com/photos/iSO22I2l5uc" TargetMode="External"/><Relationship Id="rId95" Type="http://schemas.openxmlformats.org/officeDocument/2006/relationships/hyperlink" Target="https://unsplash.com/photos/wItbwu49Wdc" TargetMode="External"/><Relationship Id="rId96" Type="http://schemas.openxmlformats.org/officeDocument/2006/relationships/hyperlink" Target="https://unsplash.com/photos/jM-dZdFtnbk" TargetMode="External"/><Relationship Id="rId97" Type="http://schemas.openxmlformats.org/officeDocument/2006/relationships/hyperlink" Target="https://unsplash.com/photos/PhOABIwQrRE" TargetMode="External"/><Relationship Id="rId98" Type="http://schemas.openxmlformats.org/officeDocument/2006/relationships/hyperlink" Target="https://unsplash.com/photos/iqGUN6GIl78" TargetMode="External"/><Relationship Id="rId99" Type="http://schemas.openxmlformats.org/officeDocument/2006/relationships/hyperlink" Target="https://unsplash.com/photos/PykCR7AajYc" TargetMode="External"/><Relationship Id="rId100" Type="http://schemas.openxmlformats.org/officeDocument/2006/relationships/hyperlink" Target="https://unsplash.com/photos/Szi36WVr7M4" TargetMode="External"/><Relationship Id="rId101" Type="http://schemas.openxmlformats.org/officeDocument/2006/relationships/hyperlink" Target="https://unsplash.com/photos/e0ReP2ZWIMw" TargetMode="External"/><Relationship Id="rId102" Type="http://schemas.openxmlformats.org/officeDocument/2006/relationships/hyperlink" Target="https://unsplash.com/photos/xJ14RuLV9zI" TargetMode="External"/><Relationship Id="rId103"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3" min="2" style="0" width="15"/>
    <col collapsed="false" customWidth="true" hidden="false" outlineLevel="0" max="4" min="4" style="0" width="17"/>
    <col collapsed="false" customWidth="true" hidden="false" outlineLevel="0" max="5" min="5" style="0" width="30"/>
    <col collapsed="false" customWidth="true" hidden="false" outlineLevel="0" max="6" min="6" style="0" width="26"/>
    <col collapsed="false" customWidth="true" hidden="false" outlineLevel="0" max="7" min="7" style="0" width="24"/>
    <col collapsed="false" customWidth="true" hidden="false" outlineLevel="0" max="8" min="8" style="0" width="14"/>
    <col collapsed="false" customWidth="true" hidden="false" outlineLevel="0" max="10" min="9" style="0" width="15"/>
    <col collapsed="false" customWidth="true" hidden="false" outlineLevel="0" max="11" min="11" style="0" width="11"/>
    <col collapsed="false" customWidth="true" hidden="false" outlineLevel="0" max="12" min="12" style="0" width="13"/>
    <col collapsed="false" customWidth="true" hidden="false" outlineLevel="0" max="13" min="13" style="0" width="12"/>
    <col collapsed="false" customWidth="true" hidden="false" outlineLevel="0" max="14" min="14" style="0" width="44"/>
    <col collapsed="false" customWidth="true" hidden="false" outlineLevel="0" max="15" min="15" style="0" width="28"/>
    <col collapsed="false" customWidth="true" hidden="false" outlineLevel="0" max="16" min="16" style="0" width="40"/>
    <col collapsed="false" customWidth="true" hidden="false" outlineLevel="0" max="17" min="17" style="0" width="16"/>
  </cols>
  <sheetData>
    <row r="1" customFormat="false" ht="26.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2" t="s">
        <v>17</v>
      </c>
      <c r="B2" s="2" t="s">
        <v>18</v>
      </c>
      <c r="C2" s="2" t="s">
        <v>19</v>
      </c>
      <c r="D2" s="2" t="s">
        <v>20</v>
      </c>
      <c r="E2" s="2" t="s">
        <v>21</v>
      </c>
      <c r="F2" s="2" t="s">
        <v>22</v>
      </c>
      <c r="G2" s="2" t="s">
        <v>23</v>
      </c>
      <c r="H2" s="2" t="s">
        <v>24</v>
      </c>
      <c r="I2" s="2" t="s">
        <v>25</v>
      </c>
      <c r="J2" s="2" t="s">
        <v>26</v>
      </c>
      <c r="K2" s="2" t="s">
        <v>27</v>
      </c>
      <c r="L2" s="2" t="s">
        <v>28</v>
      </c>
      <c r="M2" s="2" t="s">
        <v>29</v>
      </c>
      <c r="N2" s="2" t="s">
        <v>30</v>
      </c>
      <c r="O2" s="2" t="s">
        <v>31</v>
      </c>
      <c r="P2" s="3" t="s">
        <v>32</v>
      </c>
      <c r="Q2" s="2" t="s">
        <v>33</v>
      </c>
    </row>
    <row r="3" customFormat="false" ht="15" hidden="false" customHeight="false" outlineLevel="0" collapsed="false">
      <c r="A3" s="2" t="s">
        <v>34</v>
      </c>
      <c r="B3" s="2" t="s">
        <v>18</v>
      </c>
      <c r="C3" s="2" t="s">
        <v>19</v>
      </c>
      <c r="D3" s="2" t="s">
        <v>20</v>
      </c>
      <c r="E3" s="2" t="s">
        <v>35</v>
      </c>
      <c r="F3" s="2" t="s">
        <v>36</v>
      </c>
      <c r="G3" s="2" t="s">
        <v>37</v>
      </c>
      <c r="H3" s="2" t="s">
        <v>24</v>
      </c>
      <c r="I3" s="2" t="s">
        <v>38</v>
      </c>
      <c r="J3" s="2" t="s">
        <v>26</v>
      </c>
      <c r="K3" s="2" t="s">
        <v>27</v>
      </c>
      <c r="L3" s="2" t="s">
        <v>39</v>
      </c>
      <c r="M3" s="2" t="s">
        <v>29</v>
      </c>
      <c r="N3" s="2" t="s">
        <v>40</v>
      </c>
      <c r="O3" s="2" t="s">
        <v>41</v>
      </c>
      <c r="P3" s="3" t="s">
        <v>42</v>
      </c>
      <c r="Q3" s="2" t="s">
        <v>33</v>
      </c>
    </row>
    <row r="4" customFormat="false" ht="15" hidden="false" customHeight="false" outlineLevel="0" collapsed="false">
      <c r="A4" s="2" t="s">
        <v>43</v>
      </c>
      <c r="B4" s="2" t="s">
        <v>18</v>
      </c>
      <c r="C4" s="2" t="s">
        <v>19</v>
      </c>
      <c r="D4" s="2" t="s">
        <v>44</v>
      </c>
      <c r="E4" s="2" t="s">
        <v>45</v>
      </c>
      <c r="F4" s="2" t="s">
        <v>46</v>
      </c>
      <c r="G4" s="2" t="s">
        <v>47</v>
      </c>
      <c r="H4" s="2" t="s">
        <v>48</v>
      </c>
      <c r="I4" s="2" t="s">
        <v>25</v>
      </c>
      <c r="J4" s="2" t="s">
        <v>49</v>
      </c>
      <c r="K4" s="2" t="s">
        <v>27</v>
      </c>
      <c r="L4" s="2" t="s">
        <v>39</v>
      </c>
      <c r="M4" s="2" t="s">
        <v>50</v>
      </c>
      <c r="N4" s="2"/>
      <c r="O4" s="2" t="s">
        <v>51</v>
      </c>
      <c r="P4" s="3" t="s">
        <v>52</v>
      </c>
      <c r="Q4" s="2" t="s">
        <v>33</v>
      </c>
    </row>
    <row r="5" customFormat="false" ht="23.85" hidden="false" customHeight="false" outlineLevel="0" collapsed="false">
      <c r="A5" s="2" t="s">
        <v>53</v>
      </c>
      <c r="B5" s="2" t="s">
        <v>18</v>
      </c>
      <c r="C5" s="2" t="s">
        <v>19</v>
      </c>
      <c r="D5" s="2" t="s">
        <v>44</v>
      </c>
      <c r="E5" s="2" t="s">
        <v>54</v>
      </c>
      <c r="F5" s="2" t="s">
        <v>36</v>
      </c>
      <c r="G5" s="2" t="s">
        <v>37</v>
      </c>
      <c r="H5" s="2" t="s">
        <v>55</v>
      </c>
      <c r="I5" s="2" t="s">
        <v>25</v>
      </c>
      <c r="J5" s="2" t="s">
        <v>49</v>
      </c>
      <c r="K5" s="2" t="s">
        <v>56</v>
      </c>
      <c r="L5" s="2" t="s">
        <v>39</v>
      </c>
      <c r="M5" s="2" t="s">
        <v>29</v>
      </c>
      <c r="N5" s="2"/>
      <c r="O5" s="2" t="s">
        <v>57</v>
      </c>
      <c r="P5" s="3" t="s">
        <v>58</v>
      </c>
      <c r="Q5" s="2" t="s">
        <v>33</v>
      </c>
    </row>
    <row r="6" customFormat="false" ht="23.85" hidden="false" customHeight="false" outlineLevel="0" collapsed="false">
      <c r="A6" s="2" t="s">
        <v>59</v>
      </c>
      <c r="B6" s="2" t="s">
        <v>18</v>
      </c>
      <c r="C6" s="2" t="s">
        <v>19</v>
      </c>
      <c r="D6" s="2" t="s">
        <v>60</v>
      </c>
      <c r="E6" s="2" t="s">
        <v>61</v>
      </c>
      <c r="F6" s="2" t="s">
        <v>62</v>
      </c>
      <c r="G6" s="2" t="s">
        <v>63</v>
      </c>
      <c r="H6" s="2" t="s">
        <v>55</v>
      </c>
      <c r="I6" s="2" t="s">
        <v>25</v>
      </c>
      <c r="J6" s="2" t="s">
        <v>64</v>
      </c>
      <c r="K6" s="2" t="s">
        <v>65</v>
      </c>
      <c r="L6" s="2" t="s">
        <v>28</v>
      </c>
      <c r="M6" s="2" t="s">
        <v>50</v>
      </c>
      <c r="N6" s="2" t="s">
        <v>66</v>
      </c>
      <c r="O6" s="2" t="s">
        <v>67</v>
      </c>
      <c r="P6" s="3" t="s">
        <v>68</v>
      </c>
      <c r="Q6" s="2" t="s">
        <v>33</v>
      </c>
    </row>
    <row r="7" customFormat="false" ht="23.85" hidden="false" customHeight="false" outlineLevel="0" collapsed="false">
      <c r="A7" s="2" t="s">
        <v>69</v>
      </c>
      <c r="B7" s="2" t="s">
        <v>18</v>
      </c>
      <c r="C7" s="2" t="s">
        <v>19</v>
      </c>
      <c r="D7" s="2" t="s">
        <v>60</v>
      </c>
      <c r="E7" s="2" t="s">
        <v>70</v>
      </c>
      <c r="F7" s="2" t="s">
        <v>22</v>
      </c>
      <c r="G7" s="2" t="s">
        <v>71</v>
      </c>
      <c r="H7" s="2" t="s">
        <v>55</v>
      </c>
      <c r="I7" s="2" t="s">
        <v>25</v>
      </c>
      <c r="J7" s="2" t="s">
        <v>72</v>
      </c>
      <c r="K7" s="2" t="s">
        <v>73</v>
      </c>
      <c r="L7" s="2" t="s">
        <v>28</v>
      </c>
      <c r="M7" s="2" t="s">
        <v>50</v>
      </c>
      <c r="N7" s="2" t="s">
        <v>74</v>
      </c>
      <c r="O7" s="2" t="s">
        <v>75</v>
      </c>
      <c r="P7" s="3" t="s">
        <v>76</v>
      </c>
      <c r="Q7" s="2" t="s">
        <v>33</v>
      </c>
    </row>
    <row r="8" customFormat="false" ht="15" hidden="false" customHeight="false" outlineLevel="0" collapsed="false">
      <c r="A8" s="2" t="s">
        <v>77</v>
      </c>
      <c r="B8" s="2" t="s">
        <v>18</v>
      </c>
      <c r="C8" s="2" t="s">
        <v>78</v>
      </c>
      <c r="D8" s="2" t="s">
        <v>60</v>
      </c>
      <c r="E8" s="2" t="s">
        <v>79</v>
      </c>
      <c r="F8" s="2" t="s">
        <v>80</v>
      </c>
      <c r="G8" s="2" t="s">
        <v>37</v>
      </c>
      <c r="H8" s="2" t="s">
        <v>24</v>
      </c>
      <c r="I8" s="2" t="s">
        <v>38</v>
      </c>
      <c r="J8" s="2" t="s">
        <v>26</v>
      </c>
      <c r="K8" s="2" t="s">
        <v>27</v>
      </c>
      <c r="L8" s="2" t="s">
        <v>81</v>
      </c>
      <c r="M8" s="2" t="s">
        <v>50</v>
      </c>
      <c r="N8" s="2"/>
      <c r="O8" s="2" t="s">
        <v>82</v>
      </c>
      <c r="P8" s="3" t="s">
        <v>83</v>
      </c>
      <c r="Q8" s="2" t="s">
        <v>33</v>
      </c>
    </row>
    <row r="9" customFormat="false" ht="15" hidden="false" customHeight="false" outlineLevel="0" collapsed="false">
      <c r="A9" s="2" t="s">
        <v>84</v>
      </c>
      <c r="B9" s="2" t="s">
        <v>18</v>
      </c>
      <c r="C9" s="2" t="s">
        <v>85</v>
      </c>
      <c r="D9" s="2" t="s">
        <v>86</v>
      </c>
      <c r="E9" s="2" t="s">
        <v>87</v>
      </c>
      <c r="F9" s="2" t="s">
        <v>88</v>
      </c>
      <c r="G9" s="2" t="s">
        <v>37</v>
      </c>
      <c r="H9" s="2" t="s">
        <v>24</v>
      </c>
      <c r="I9" s="2" t="s">
        <v>89</v>
      </c>
      <c r="J9" s="2" t="s">
        <v>49</v>
      </c>
      <c r="K9" s="2" t="s">
        <v>73</v>
      </c>
      <c r="L9" s="2" t="s">
        <v>28</v>
      </c>
      <c r="M9" s="2" t="s">
        <v>29</v>
      </c>
      <c r="N9" s="2" t="s">
        <v>90</v>
      </c>
      <c r="O9" s="2" t="s">
        <v>91</v>
      </c>
      <c r="P9" s="3" t="s">
        <v>92</v>
      </c>
      <c r="Q9" s="2" t="s">
        <v>33</v>
      </c>
    </row>
    <row r="10" customFormat="false" ht="23.85" hidden="false" customHeight="false" outlineLevel="0" collapsed="false">
      <c r="A10" s="2" t="s">
        <v>93</v>
      </c>
      <c r="B10" s="2" t="s">
        <v>18</v>
      </c>
      <c r="C10" s="2" t="s">
        <v>19</v>
      </c>
      <c r="D10" s="2" t="s">
        <v>86</v>
      </c>
      <c r="E10" s="2" t="s">
        <v>94</v>
      </c>
      <c r="F10" s="2" t="s">
        <v>95</v>
      </c>
      <c r="G10" s="2" t="s">
        <v>96</v>
      </c>
      <c r="H10" s="2" t="s">
        <v>55</v>
      </c>
      <c r="I10" s="2" t="s">
        <v>25</v>
      </c>
      <c r="J10" s="2" t="s">
        <v>49</v>
      </c>
      <c r="K10" s="2" t="s">
        <v>73</v>
      </c>
      <c r="L10" s="2" t="s">
        <v>39</v>
      </c>
      <c r="M10" s="2" t="s">
        <v>29</v>
      </c>
      <c r="N10" s="2" t="s">
        <v>97</v>
      </c>
      <c r="O10" s="2" t="s">
        <v>98</v>
      </c>
      <c r="P10" s="3" t="s">
        <v>99</v>
      </c>
      <c r="Q10" s="2" t="s">
        <v>33</v>
      </c>
    </row>
    <row r="11" customFormat="false" ht="15" hidden="false" customHeight="false" outlineLevel="0" collapsed="false">
      <c r="A11" s="2" t="s">
        <v>100</v>
      </c>
      <c r="B11" s="2" t="s">
        <v>18</v>
      </c>
      <c r="C11" s="2" t="s">
        <v>19</v>
      </c>
      <c r="D11" s="2" t="s">
        <v>101</v>
      </c>
      <c r="E11" s="2" t="s">
        <v>102</v>
      </c>
      <c r="F11" s="2" t="s">
        <v>36</v>
      </c>
      <c r="G11" s="2" t="s">
        <v>37</v>
      </c>
      <c r="H11" s="2" t="s">
        <v>55</v>
      </c>
      <c r="I11" s="2" t="s">
        <v>25</v>
      </c>
      <c r="J11" s="2" t="s">
        <v>64</v>
      </c>
      <c r="K11" s="2" t="s">
        <v>56</v>
      </c>
      <c r="L11" s="2" t="s">
        <v>39</v>
      </c>
      <c r="M11" s="2" t="s">
        <v>50</v>
      </c>
      <c r="N11" s="2" t="s">
        <v>103</v>
      </c>
      <c r="O11" s="2" t="s">
        <v>51</v>
      </c>
      <c r="P11" s="3" t="s">
        <v>104</v>
      </c>
      <c r="Q11" s="2" t="s">
        <v>33</v>
      </c>
    </row>
    <row r="12" customFormat="false" ht="15" hidden="false" customHeight="false" outlineLevel="0" collapsed="false">
      <c r="A12" s="2" t="s">
        <v>105</v>
      </c>
      <c r="B12" s="2" t="s">
        <v>18</v>
      </c>
      <c r="C12" s="2" t="s">
        <v>85</v>
      </c>
      <c r="D12" s="2" t="s">
        <v>101</v>
      </c>
      <c r="E12" s="2" t="s">
        <v>106</v>
      </c>
      <c r="F12" s="2" t="s">
        <v>36</v>
      </c>
      <c r="G12" s="2" t="s">
        <v>37</v>
      </c>
      <c r="H12" s="2" t="s">
        <v>24</v>
      </c>
      <c r="I12" s="2" t="s">
        <v>25</v>
      </c>
      <c r="J12" s="2" t="s">
        <v>49</v>
      </c>
      <c r="K12" s="2" t="s">
        <v>107</v>
      </c>
      <c r="L12" s="2" t="s">
        <v>28</v>
      </c>
      <c r="M12" s="2" t="s">
        <v>29</v>
      </c>
      <c r="N12" s="2" t="s">
        <v>108</v>
      </c>
      <c r="O12" s="2" t="s">
        <v>109</v>
      </c>
      <c r="P12" s="3" t="s">
        <v>110</v>
      </c>
      <c r="Q12" s="2" t="s">
        <v>33</v>
      </c>
    </row>
    <row r="13" customFormat="false" ht="23.85" hidden="false" customHeight="false" outlineLevel="0" collapsed="false">
      <c r="A13" s="2" t="s">
        <v>111</v>
      </c>
      <c r="B13" s="2" t="s">
        <v>18</v>
      </c>
      <c r="C13" s="2" t="s">
        <v>78</v>
      </c>
      <c r="D13" s="2" t="s">
        <v>112</v>
      </c>
      <c r="E13" s="2" t="s">
        <v>113</v>
      </c>
      <c r="F13" s="2" t="s">
        <v>114</v>
      </c>
      <c r="G13" s="2" t="s">
        <v>115</v>
      </c>
      <c r="H13" s="2" t="s">
        <v>24</v>
      </c>
      <c r="I13" s="2" t="s">
        <v>25</v>
      </c>
      <c r="J13" s="2" t="s">
        <v>64</v>
      </c>
      <c r="K13" s="2" t="s">
        <v>65</v>
      </c>
      <c r="L13" s="2" t="s">
        <v>81</v>
      </c>
      <c r="M13" s="2" t="s">
        <v>29</v>
      </c>
      <c r="N13" s="2" t="s">
        <v>116</v>
      </c>
      <c r="O13" s="2" t="s">
        <v>117</v>
      </c>
      <c r="P13" s="3" t="s">
        <v>118</v>
      </c>
      <c r="Q13" s="2" t="s">
        <v>33</v>
      </c>
    </row>
    <row r="14" customFormat="false" ht="15" hidden="false" customHeight="false" outlineLevel="0" collapsed="false">
      <c r="A14" s="2" t="s">
        <v>119</v>
      </c>
      <c r="B14" s="2" t="s">
        <v>18</v>
      </c>
      <c r="C14" s="2" t="s">
        <v>78</v>
      </c>
      <c r="D14" s="2" t="s">
        <v>112</v>
      </c>
      <c r="E14" s="2" t="s">
        <v>120</v>
      </c>
      <c r="F14" s="2" t="s">
        <v>121</v>
      </c>
      <c r="G14" s="2" t="s">
        <v>122</v>
      </c>
      <c r="H14" s="2" t="s">
        <v>55</v>
      </c>
      <c r="I14" s="2" t="s">
        <v>25</v>
      </c>
      <c r="J14" s="2" t="s">
        <v>64</v>
      </c>
      <c r="K14" s="2" t="s">
        <v>65</v>
      </c>
      <c r="L14" s="2" t="s">
        <v>81</v>
      </c>
      <c r="M14" s="2" t="s">
        <v>50</v>
      </c>
      <c r="N14" s="2" t="s">
        <v>123</v>
      </c>
      <c r="O14" s="2" t="s">
        <v>82</v>
      </c>
      <c r="P14" s="3" t="s">
        <v>124</v>
      </c>
      <c r="Q14" s="2" t="s">
        <v>33</v>
      </c>
    </row>
    <row r="15" customFormat="false" ht="23.85" hidden="false" customHeight="false" outlineLevel="0" collapsed="false">
      <c r="A15" s="2" t="s">
        <v>125</v>
      </c>
      <c r="B15" s="2" t="s">
        <v>18</v>
      </c>
      <c r="C15" s="2" t="s">
        <v>78</v>
      </c>
      <c r="D15" s="2" t="s">
        <v>112</v>
      </c>
      <c r="E15" s="2" t="s">
        <v>126</v>
      </c>
      <c r="F15" s="2" t="s">
        <v>121</v>
      </c>
      <c r="G15" s="2" t="s">
        <v>122</v>
      </c>
      <c r="H15" s="2" t="s">
        <v>55</v>
      </c>
      <c r="I15" s="2" t="s">
        <v>25</v>
      </c>
      <c r="J15" s="2" t="s">
        <v>64</v>
      </c>
      <c r="K15" s="2" t="s">
        <v>65</v>
      </c>
      <c r="L15" s="2" t="s">
        <v>81</v>
      </c>
      <c r="M15" s="2" t="s">
        <v>50</v>
      </c>
      <c r="N15" s="2" t="s">
        <v>127</v>
      </c>
      <c r="O15" s="2" t="s">
        <v>128</v>
      </c>
      <c r="P15" s="3" t="s">
        <v>129</v>
      </c>
      <c r="Q15" s="2" t="s">
        <v>33</v>
      </c>
    </row>
    <row r="16" customFormat="false" ht="23.85" hidden="false" customHeight="false" outlineLevel="0" collapsed="false">
      <c r="A16" s="2" t="s">
        <v>130</v>
      </c>
      <c r="B16" s="2" t="s">
        <v>18</v>
      </c>
      <c r="C16" s="2" t="s">
        <v>78</v>
      </c>
      <c r="D16" s="2" t="s">
        <v>131</v>
      </c>
      <c r="E16" s="2" t="s">
        <v>132</v>
      </c>
      <c r="F16" s="2" t="s">
        <v>62</v>
      </c>
      <c r="G16" s="2" t="s">
        <v>133</v>
      </c>
      <c r="H16" s="2" t="s">
        <v>24</v>
      </c>
      <c r="I16" s="2" t="s">
        <v>38</v>
      </c>
      <c r="J16" s="2" t="s">
        <v>26</v>
      </c>
      <c r="K16" s="2" t="s">
        <v>27</v>
      </c>
      <c r="L16" s="2" t="s">
        <v>81</v>
      </c>
      <c r="M16" s="2" t="s">
        <v>50</v>
      </c>
      <c r="N16" s="2" t="s">
        <v>134</v>
      </c>
      <c r="O16" s="2" t="s">
        <v>135</v>
      </c>
      <c r="P16" s="3" t="s">
        <v>136</v>
      </c>
      <c r="Q16" s="2" t="s">
        <v>33</v>
      </c>
    </row>
    <row r="17" customFormat="false" ht="23.85" hidden="false" customHeight="false" outlineLevel="0" collapsed="false">
      <c r="A17" s="2" t="s">
        <v>137</v>
      </c>
      <c r="B17" s="2" t="s">
        <v>18</v>
      </c>
      <c r="C17" s="2" t="s">
        <v>19</v>
      </c>
      <c r="D17" s="2" t="s">
        <v>131</v>
      </c>
      <c r="E17" s="2" t="s">
        <v>138</v>
      </c>
      <c r="F17" s="2" t="s">
        <v>139</v>
      </c>
      <c r="G17" s="2" t="s">
        <v>71</v>
      </c>
      <c r="H17" s="2" t="s">
        <v>55</v>
      </c>
      <c r="I17" s="2" t="s">
        <v>25</v>
      </c>
      <c r="J17" s="2" t="s">
        <v>26</v>
      </c>
      <c r="K17" s="2" t="s">
        <v>73</v>
      </c>
      <c r="L17" s="2" t="s">
        <v>28</v>
      </c>
      <c r="M17" s="2" t="s">
        <v>29</v>
      </c>
      <c r="N17" s="2" t="s">
        <v>140</v>
      </c>
      <c r="O17" s="2" t="s">
        <v>141</v>
      </c>
      <c r="P17" s="3" t="s">
        <v>142</v>
      </c>
      <c r="Q17" s="2" t="s">
        <v>33</v>
      </c>
    </row>
    <row r="18" customFormat="false" ht="23.85" hidden="false" customHeight="false" outlineLevel="0" collapsed="false">
      <c r="A18" s="2" t="s">
        <v>143</v>
      </c>
      <c r="B18" s="2" t="s">
        <v>18</v>
      </c>
      <c r="C18" s="2" t="s">
        <v>19</v>
      </c>
      <c r="D18" s="2" t="s">
        <v>131</v>
      </c>
      <c r="E18" s="2" t="s">
        <v>144</v>
      </c>
      <c r="F18" s="2" t="s">
        <v>145</v>
      </c>
      <c r="G18" s="2" t="s">
        <v>71</v>
      </c>
      <c r="H18" s="2" t="s">
        <v>55</v>
      </c>
      <c r="I18" s="2" t="s">
        <v>25</v>
      </c>
      <c r="J18" s="2" t="s">
        <v>49</v>
      </c>
      <c r="K18" s="2" t="s">
        <v>27</v>
      </c>
      <c r="L18" s="2" t="s">
        <v>28</v>
      </c>
      <c r="M18" s="2" t="s">
        <v>50</v>
      </c>
      <c r="N18" s="2" t="s">
        <v>146</v>
      </c>
      <c r="O18" s="2" t="s">
        <v>147</v>
      </c>
      <c r="P18" s="3" t="s">
        <v>148</v>
      </c>
      <c r="Q18" s="2" t="s">
        <v>33</v>
      </c>
    </row>
    <row r="19" customFormat="false" ht="23.85" hidden="false" customHeight="false" outlineLevel="0" collapsed="false">
      <c r="A19" s="2" t="s">
        <v>149</v>
      </c>
      <c r="B19" s="2" t="s">
        <v>18</v>
      </c>
      <c r="C19" s="2" t="s">
        <v>78</v>
      </c>
      <c r="D19" s="2" t="s">
        <v>150</v>
      </c>
      <c r="E19" s="2" t="s">
        <v>151</v>
      </c>
      <c r="F19" s="2" t="s">
        <v>152</v>
      </c>
      <c r="G19" s="2" t="s">
        <v>23</v>
      </c>
      <c r="H19" s="2" t="s">
        <v>48</v>
      </c>
      <c r="I19" s="2" t="s">
        <v>89</v>
      </c>
      <c r="J19" s="2" t="s">
        <v>26</v>
      </c>
      <c r="K19" s="2" t="s">
        <v>107</v>
      </c>
      <c r="L19" s="2" t="s">
        <v>81</v>
      </c>
      <c r="M19" s="2" t="s">
        <v>50</v>
      </c>
      <c r="N19" s="2" t="s">
        <v>153</v>
      </c>
      <c r="O19" s="2" t="s">
        <v>154</v>
      </c>
      <c r="P19" s="3" t="s">
        <v>155</v>
      </c>
      <c r="Q19" s="2" t="s">
        <v>33</v>
      </c>
    </row>
    <row r="20" customFormat="false" ht="15" hidden="false" customHeight="false" outlineLevel="0" collapsed="false">
      <c r="A20" s="2" t="s">
        <v>156</v>
      </c>
      <c r="B20" s="2" t="s">
        <v>18</v>
      </c>
      <c r="C20" s="2" t="s">
        <v>19</v>
      </c>
      <c r="D20" s="2" t="s">
        <v>150</v>
      </c>
      <c r="E20" s="2" t="s">
        <v>157</v>
      </c>
      <c r="F20" s="2" t="s">
        <v>36</v>
      </c>
      <c r="G20" s="2" t="s">
        <v>158</v>
      </c>
      <c r="H20" s="2" t="s">
        <v>24</v>
      </c>
      <c r="I20" s="2" t="s">
        <v>38</v>
      </c>
      <c r="J20" s="2" t="s">
        <v>49</v>
      </c>
      <c r="K20" s="2" t="s">
        <v>107</v>
      </c>
      <c r="L20" s="2" t="s">
        <v>28</v>
      </c>
      <c r="M20" s="2" t="s">
        <v>29</v>
      </c>
      <c r="N20" s="2" t="s">
        <v>159</v>
      </c>
      <c r="O20" s="2" t="s">
        <v>160</v>
      </c>
      <c r="P20" s="3" t="s">
        <v>161</v>
      </c>
      <c r="Q20" s="2" t="s">
        <v>33</v>
      </c>
    </row>
    <row r="21" customFormat="false" ht="23.85" hidden="false" customHeight="false" outlineLevel="0" collapsed="false">
      <c r="A21" s="2" t="s">
        <v>162</v>
      </c>
      <c r="B21" s="2" t="s">
        <v>163</v>
      </c>
      <c r="C21" s="2" t="s">
        <v>19</v>
      </c>
      <c r="D21" s="2" t="s">
        <v>20</v>
      </c>
      <c r="E21" s="2" t="s">
        <v>164</v>
      </c>
      <c r="F21" s="2" t="s">
        <v>22</v>
      </c>
      <c r="G21" s="2" t="s">
        <v>165</v>
      </c>
      <c r="H21" s="2" t="s">
        <v>55</v>
      </c>
      <c r="I21" s="2" t="s">
        <v>25</v>
      </c>
      <c r="J21" s="2" t="s">
        <v>26</v>
      </c>
      <c r="K21" s="2" t="s">
        <v>27</v>
      </c>
      <c r="L21" s="2" t="s">
        <v>28</v>
      </c>
      <c r="M21" s="2" t="s">
        <v>50</v>
      </c>
      <c r="N21" s="2" t="s">
        <v>166</v>
      </c>
      <c r="O21" s="2" t="s">
        <v>167</v>
      </c>
      <c r="P21" s="3" t="s">
        <v>168</v>
      </c>
      <c r="Q21" s="2" t="s">
        <v>33</v>
      </c>
    </row>
    <row r="22" customFormat="false" ht="15" hidden="false" customHeight="false" outlineLevel="0" collapsed="false">
      <c r="A22" s="2" t="s">
        <v>169</v>
      </c>
      <c r="B22" s="2" t="s">
        <v>163</v>
      </c>
      <c r="C22" s="2" t="s">
        <v>19</v>
      </c>
      <c r="D22" s="2" t="s">
        <v>44</v>
      </c>
      <c r="E22" s="2" t="s">
        <v>170</v>
      </c>
      <c r="F22" s="2" t="s">
        <v>36</v>
      </c>
      <c r="G22" s="2" t="s">
        <v>23</v>
      </c>
      <c r="H22" s="2" t="s">
        <v>55</v>
      </c>
      <c r="I22" s="2" t="s">
        <v>25</v>
      </c>
      <c r="J22" s="2" t="s">
        <v>26</v>
      </c>
      <c r="K22" s="2" t="s">
        <v>27</v>
      </c>
      <c r="L22" s="2" t="s">
        <v>28</v>
      </c>
      <c r="M22" s="2" t="s">
        <v>29</v>
      </c>
      <c r="N22" s="2" t="s">
        <v>171</v>
      </c>
      <c r="O22" s="2" t="s">
        <v>172</v>
      </c>
      <c r="P22" s="3" t="s">
        <v>173</v>
      </c>
      <c r="Q22" s="2" t="s">
        <v>33</v>
      </c>
    </row>
    <row r="23" customFormat="false" ht="23.85" hidden="false" customHeight="false" outlineLevel="0" collapsed="false">
      <c r="A23" s="2" t="s">
        <v>174</v>
      </c>
      <c r="B23" s="2" t="s">
        <v>163</v>
      </c>
      <c r="C23" s="2" t="s">
        <v>19</v>
      </c>
      <c r="D23" s="2" t="s">
        <v>60</v>
      </c>
      <c r="E23" s="2" t="s">
        <v>175</v>
      </c>
      <c r="F23" s="2" t="s">
        <v>176</v>
      </c>
      <c r="G23" s="2" t="s">
        <v>133</v>
      </c>
      <c r="H23" s="2" t="s">
        <v>55</v>
      </c>
      <c r="I23" s="2" t="s">
        <v>25</v>
      </c>
      <c r="J23" s="2" t="s">
        <v>72</v>
      </c>
      <c r="K23" s="2" t="s">
        <v>73</v>
      </c>
      <c r="L23" s="2" t="s">
        <v>28</v>
      </c>
      <c r="M23" s="2" t="s">
        <v>50</v>
      </c>
      <c r="N23" s="2" t="s">
        <v>177</v>
      </c>
      <c r="O23" s="2" t="s">
        <v>75</v>
      </c>
      <c r="P23" s="3" t="s">
        <v>178</v>
      </c>
      <c r="Q23" s="2" t="s">
        <v>33</v>
      </c>
    </row>
    <row r="24" customFormat="false" ht="23.85" hidden="false" customHeight="false" outlineLevel="0" collapsed="false">
      <c r="A24" s="2" t="s">
        <v>179</v>
      </c>
      <c r="B24" s="2" t="s">
        <v>163</v>
      </c>
      <c r="C24" s="2" t="s">
        <v>19</v>
      </c>
      <c r="D24" s="2" t="s">
        <v>60</v>
      </c>
      <c r="E24" s="2" t="s">
        <v>180</v>
      </c>
      <c r="F24" s="2" t="s">
        <v>62</v>
      </c>
      <c r="G24" s="2" t="s">
        <v>181</v>
      </c>
      <c r="H24" s="2" t="s">
        <v>55</v>
      </c>
      <c r="I24" s="2" t="s">
        <v>25</v>
      </c>
      <c r="J24" s="2" t="s">
        <v>72</v>
      </c>
      <c r="K24" s="2" t="s">
        <v>27</v>
      </c>
      <c r="L24" s="2" t="s">
        <v>28</v>
      </c>
      <c r="M24" s="2" t="s">
        <v>50</v>
      </c>
      <c r="N24" s="2" t="s">
        <v>182</v>
      </c>
      <c r="O24" s="2" t="s">
        <v>67</v>
      </c>
      <c r="P24" s="3" t="s">
        <v>183</v>
      </c>
      <c r="Q24" s="2" t="s">
        <v>33</v>
      </c>
    </row>
    <row r="25" customFormat="false" ht="23.85" hidden="false" customHeight="false" outlineLevel="0" collapsed="false">
      <c r="A25" s="2" t="s">
        <v>184</v>
      </c>
      <c r="B25" s="2" t="s">
        <v>163</v>
      </c>
      <c r="C25" s="2" t="s">
        <v>19</v>
      </c>
      <c r="D25" s="2" t="s">
        <v>86</v>
      </c>
      <c r="E25" s="2" t="s">
        <v>185</v>
      </c>
      <c r="F25" s="2" t="s">
        <v>95</v>
      </c>
      <c r="G25" s="2" t="s">
        <v>37</v>
      </c>
      <c r="H25" s="2" t="s">
        <v>55</v>
      </c>
      <c r="I25" s="2" t="s">
        <v>25</v>
      </c>
      <c r="J25" s="2" t="s">
        <v>49</v>
      </c>
      <c r="K25" s="2" t="s">
        <v>73</v>
      </c>
      <c r="L25" s="2" t="s">
        <v>39</v>
      </c>
      <c r="M25" s="2" t="s">
        <v>29</v>
      </c>
      <c r="N25" s="2" t="s">
        <v>186</v>
      </c>
      <c r="O25" s="2" t="s">
        <v>187</v>
      </c>
      <c r="P25" s="3" t="s">
        <v>188</v>
      </c>
      <c r="Q25" s="2" t="s">
        <v>33</v>
      </c>
    </row>
    <row r="26" customFormat="false" ht="15" hidden="false" customHeight="false" outlineLevel="0" collapsed="false">
      <c r="A26" s="2" t="s">
        <v>189</v>
      </c>
      <c r="B26" s="2" t="s">
        <v>163</v>
      </c>
      <c r="C26" s="2" t="s">
        <v>19</v>
      </c>
      <c r="D26" s="2" t="s">
        <v>101</v>
      </c>
      <c r="E26" s="2" t="s">
        <v>190</v>
      </c>
      <c r="F26" s="2" t="s">
        <v>36</v>
      </c>
      <c r="G26" s="2" t="s">
        <v>37</v>
      </c>
      <c r="H26" s="2" t="s">
        <v>55</v>
      </c>
      <c r="I26" s="2" t="s">
        <v>25</v>
      </c>
      <c r="J26" s="2" t="s">
        <v>49</v>
      </c>
      <c r="K26" s="2" t="s">
        <v>56</v>
      </c>
      <c r="L26" s="2" t="s">
        <v>39</v>
      </c>
      <c r="M26" s="2" t="s">
        <v>50</v>
      </c>
      <c r="N26" s="2" t="s">
        <v>191</v>
      </c>
      <c r="O26" s="2" t="s">
        <v>192</v>
      </c>
      <c r="P26" s="3" t="s">
        <v>193</v>
      </c>
      <c r="Q26" s="2" t="s">
        <v>33</v>
      </c>
    </row>
    <row r="27" customFormat="false" ht="15" hidden="false" customHeight="false" outlineLevel="0" collapsed="false">
      <c r="A27" s="2" t="s">
        <v>194</v>
      </c>
      <c r="B27" s="2" t="s">
        <v>163</v>
      </c>
      <c r="C27" s="2" t="s">
        <v>19</v>
      </c>
      <c r="D27" s="2" t="s">
        <v>101</v>
      </c>
      <c r="E27" s="2" t="s">
        <v>195</v>
      </c>
      <c r="F27" s="2" t="s">
        <v>196</v>
      </c>
      <c r="G27" s="2" t="s">
        <v>37</v>
      </c>
      <c r="H27" s="2" t="s">
        <v>55</v>
      </c>
      <c r="I27" s="2" t="s">
        <v>89</v>
      </c>
      <c r="J27" s="2" t="s">
        <v>49</v>
      </c>
      <c r="K27" s="2" t="s">
        <v>73</v>
      </c>
      <c r="L27" s="2" t="s">
        <v>28</v>
      </c>
      <c r="M27" s="2" t="s">
        <v>29</v>
      </c>
      <c r="N27" s="2" t="s">
        <v>197</v>
      </c>
      <c r="O27" s="2" t="s">
        <v>31</v>
      </c>
      <c r="P27" s="3" t="s">
        <v>198</v>
      </c>
      <c r="Q27" s="2" t="s">
        <v>33</v>
      </c>
    </row>
    <row r="28" customFormat="false" ht="23.85" hidden="false" customHeight="false" outlineLevel="0" collapsed="false">
      <c r="A28" s="2" t="s">
        <v>199</v>
      </c>
      <c r="B28" s="2" t="s">
        <v>163</v>
      </c>
      <c r="C28" s="2" t="s">
        <v>78</v>
      </c>
      <c r="D28" s="2" t="s">
        <v>112</v>
      </c>
      <c r="E28" s="2" t="s">
        <v>200</v>
      </c>
      <c r="F28" s="2" t="s">
        <v>201</v>
      </c>
      <c r="G28" s="2" t="s">
        <v>71</v>
      </c>
      <c r="H28" s="2" t="s">
        <v>55</v>
      </c>
      <c r="I28" s="2" t="s">
        <v>25</v>
      </c>
      <c r="J28" s="2" t="s">
        <v>72</v>
      </c>
      <c r="K28" s="2" t="s">
        <v>65</v>
      </c>
      <c r="L28" s="2" t="s">
        <v>81</v>
      </c>
      <c r="M28" s="2" t="s">
        <v>50</v>
      </c>
      <c r="N28" s="2" t="s">
        <v>202</v>
      </c>
      <c r="O28" s="2" t="s">
        <v>128</v>
      </c>
      <c r="P28" s="3" t="s">
        <v>203</v>
      </c>
      <c r="Q28" s="2" t="s">
        <v>33</v>
      </c>
    </row>
    <row r="29" customFormat="false" ht="15" hidden="false" customHeight="false" outlineLevel="0" collapsed="false">
      <c r="A29" s="2" t="s">
        <v>204</v>
      </c>
      <c r="B29" s="2" t="s">
        <v>163</v>
      </c>
      <c r="C29" s="2" t="s">
        <v>78</v>
      </c>
      <c r="D29" s="2" t="s">
        <v>112</v>
      </c>
      <c r="E29" s="2" t="s">
        <v>205</v>
      </c>
      <c r="F29" s="2" t="s">
        <v>62</v>
      </c>
      <c r="G29" s="2" t="s">
        <v>206</v>
      </c>
      <c r="H29" s="2" t="s">
        <v>55</v>
      </c>
      <c r="I29" s="2" t="s">
        <v>25</v>
      </c>
      <c r="J29" s="2" t="s">
        <v>49</v>
      </c>
      <c r="K29" s="2" t="s">
        <v>27</v>
      </c>
      <c r="L29" s="2" t="s">
        <v>81</v>
      </c>
      <c r="M29" s="2" t="s">
        <v>50</v>
      </c>
      <c r="N29" s="2" t="s">
        <v>207</v>
      </c>
      <c r="O29" s="2" t="s">
        <v>192</v>
      </c>
      <c r="P29" s="3" t="s">
        <v>208</v>
      </c>
      <c r="Q29" s="2" t="s">
        <v>33</v>
      </c>
    </row>
    <row r="30" customFormat="false" ht="15" hidden="false" customHeight="false" outlineLevel="0" collapsed="false">
      <c r="A30" s="2" t="s">
        <v>209</v>
      </c>
      <c r="B30" s="2" t="s">
        <v>163</v>
      </c>
      <c r="C30" s="2" t="s">
        <v>19</v>
      </c>
      <c r="D30" s="2" t="s">
        <v>131</v>
      </c>
      <c r="E30" s="2" t="s">
        <v>210</v>
      </c>
      <c r="F30" s="2" t="s">
        <v>36</v>
      </c>
      <c r="G30" s="2" t="s">
        <v>71</v>
      </c>
      <c r="H30" s="2" t="s">
        <v>55</v>
      </c>
      <c r="I30" s="2" t="s">
        <v>25</v>
      </c>
      <c r="J30" s="2" t="s">
        <v>72</v>
      </c>
      <c r="K30" s="2" t="s">
        <v>27</v>
      </c>
      <c r="L30" s="2" t="s">
        <v>28</v>
      </c>
      <c r="M30" s="2" t="s">
        <v>50</v>
      </c>
      <c r="N30" s="2" t="s">
        <v>211</v>
      </c>
      <c r="O30" s="2" t="s">
        <v>212</v>
      </c>
      <c r="P30" s="3" t="s">
        <v>213</v>
      </c>
      <c r="Q30" s="2" t="s">
        <v>33</v>
      </c>
    </row>
    <row r="31" customFormat="false" ht="23.85" hidden="false" customHeight="false" outlineLevel="0" collapsed="false">
      <c r="A31" s="2" t="s">
        <v>214</v>
      </c>
      <c r="B31" s="2" t="s">
        <v>163</v>
      </c>
      <c r="C31" s="2" t="s">
        <v>78</v>
      </c>
      <c r="D31" s="2" t="s">
        <v>131</v>
      </c>
      <c r="E31" s="2" t="s">
        <v>215</v>
      </c>
      <c r="F31" s="2" t="s">
        <v>216</v>
      </c>
      <c r="G31" s="2" t="s">
        <v>37</v>
      </c>
      <c r="H31" s="2" t="s">
        <v>55</v>
      </c>
      <c r="I31" s="2" t="s">
        <v>25</v>
      </c>
      <c r="J31" s="2" t="s">
        <v>72</v>
      </c>
      <c r="K31" s="2" t="s">
        <v>27</v>
      </c>
      <c r="L31" s="2" t="s">
        <v>81</v>
      </c>
      <c r="M31" s="2" t="s">
        <v>29</v>
      </c>
      <c r="N31" s="2"/>
      <c r="O31" s="2" t="s">
        <v>217</v>
      </c>
      <c r="P31" s="3" t="s">
        <v>218</v>
      </c>
      <c r="Q31" s="2" t="s">
        <v>33</v>
      </c>
    </row>
    <row r="32" customFormat="false" ht="23.85" hidden="false" customHeight="false" outlineLevel="0" collapsed="false">
      <c r="A32" s="2" t="s">
        <v>219</v>
      </c>
      <c r="B32" s="2" t="s">
        <v>163</v>
      </c>
      <c r="C32" s="2" t="s">
        <v>19</v>
      </c>
      <c r="D32" s="2" t="s">
        <v>131</v>
      </c>
      <c r="E32" s="2" t="s">
        <v>21</v>
      </c>
      <c r="F32" s="2" t="s">
        <v>22</v>
      </c>
      <c r="G32" s="2" t="s">
        <v>71</v>
      </c>
      <c r="H32" s="2" t="s">
        <v>55</v>
      </c>
      <c r="I32" s="2" t="s">
        <v>25</v>
      </c>
      <c r="J32" s="2" t="s">
        <v>72</v>
      </c>
      <c r="K32" s="2" t="s">
        <v>27</v>
      </c>
      <c r="L32" s="2" t="s">
        <v>28</v>
      </c>
      <c r="M32" s="2" t="s">
        <v>50</v>
      </c>
      <c r="N32" s="2" t="s">
        <v>220</v>
      </c>
      <c r="O32" s="2" t="s">
        <v>147</v>
      </c>
      <c r="P32" s="3" t="s">
        <v>221</v>
      </c>
      <c r="Q32" s="2" t="s">
        <v>33</v>
      </c>
    </row>
    <row r="33" customFormat="false" ht="15" hidden="false" customHeight="false" outlineLevel="0" collapsed="false">
      <c r="A33" s="2" t="s">
        <v>222</v>
      </c>
      <c r="B33" s="2" t="s">
        <v>163</v>
      </c>
      <c r="C33" s="2" t="s">
        <v>85</v>
      </c>
      <c r="D33" s="2" t="s">
        <v>150</v>
      </c>
      <c r="E33" s="2" t="s">
        <v>223</v>
      </c>
      <c r="F33" s="2" t="s">
        <v>22</v>
      </c>
      <c r="G33" s="2" t="s">
        <v>224</v>
      </c>
      <c r="H33" s="2" t="s">
        <v>55</v>
      </c>
      <c r="I33" s="2" t="s">
        <v>25</v>
      </c>
      <c r="J33" s="2" t="s">
        <v>72</v>
      </c>
      <c r="K33" s="2" t="s">
        <v>73</v>
      </c>
      <c r="L33" s="2" t="s">
        <v>81</v>
      </c>
      <c r="M33" s="2" t="s">
        <v>29</v>
      </c>
      <c r="N33" s="2" t="s">
        <v>225</v>
      </c>
      <c r="O33" s="2" t="s">
        <v>226</v>
      </c>
      <c r="P33" s="3" t="s">
        <v>227</v>
      </c>
      <c r="Q33" s="2" t="s">
        <v>33</v>
      </c>
    </row>
    <row r="34" customFormat="false" ht="15" hidden="false" customHeight="false" outlineLevel="0" collapsed="false">
      <c r="A34" s="2" t="s">
        <v>228</v>
      </c>
      <c r="B34" s="2" t="s">
        <v>163</v>
      </c>
      <c r="C34" s="2" t="s">
        <v>19</v>
      </c>
      <c r="D34" s="2" t="s">
        <v>150</v>
      </c>
      <c r="E34" s="2" t="s">
        <v>229</v>
      </c>
      <c r="F34" s="2" t="s">
        <v>230</v>
      </c>
      <c r="G34" s="2" t="s">
        <v>37</v>
      </c>
      <c r="H34" s="2" t="s">
        <v>55</v>
      </c>
      <c r="I34" s="2" t="s">
        <v>89</v>
      </c>
      <c r="J34" s="2" t="s">
        <v>49</v>
      </c>
      <c r="K34" s="2" t="s">
        <v>107</v>
      </c>
      <c r="L34" s="2" t="s">
        <v>39</v>
      </c>
      <c r="M34" s="2" t="s">
        <v>29</v>
      </c>
      <c r="N34" s="2" t="s">
        <v>231</v>
      </c>
      <c r="O34" s="2" t="s">
        <v>232</v>
      </c>
      <c r="P34" s="3" t="s">
        <v>233</v>
      </c>
      <c r="Q34" s="2" t="s">
        <v>33</v>
      </c>
    </row>
    <row r="35" customFormat="false" ht="23.85" hidden="false" customHeight="false" outlineLevel="0" collapsed="false">
      <c r="A35" s="2" t="s">
        <v>234</v>
      </c>
      <c r="B35" s="2" t="s">
        <v>235</v>
      </c>
      <c r="C35" s="2" t="s">
        <v>78</v>
      </c>
      <c r="D35" s="2" t="s">
        <v>131</v>
      </c>
      <c r="E35" s="2" t="s">
        <v>236</v>
      </c>
      <c r="F35" s="2" t="s">
        <v>237</v>
      </c>
      <c r="G35" s="2" t="s">
        <v>23</v>
      </c>
      <c r="H35" s="2" t="s">
        <v>24</v>
      </c>
      <c r="I35" s="2" t="s">
        <v>38</v>
      </c>
      <c r="J35" s="2" t="s">
        <v>72</v>
      </c>
      <c r="K35" s="2" t="s">
        <v>107</v>
      </c>
      <c r="L35" s="2" t="s">
        <v>81</v>
      </c>
      <c r="M35" s="2" t="s">
        <v>29</v>
      </c>
      <c r="N35" s="2" t="s">
        <v>238</v>
      </c>
      <c r="O35" s="2" t="s">
        <v>239</v>
      </c>
      <c r="P35" s="3" t="s">
        <v>240</v>
      </c>
      <c r="Q35" s="2" t="s">
        <v>33</v>
      </c>
    </row>
    <row r="36" customFormat="false" ht="23.85" hidden="false" customHeight="false" outlineLevel="0" collapsed="false">
      <c r="A36" s="2" t="s">
        <v>241</v>
      </c>
      <c r="B36" s="2" t="s">
        <v>235</v>
      </c>
      <c r="C36" s="2" t="s">
        <v>19</v>
      </c>
      <c r="D36" s="2" t="s">
        <v>44</v>
      </c>
      <c r="E36" s="2" t="s">
        <v>242</v>
      </c>
      <c r="F36" s="2" t="s">
        <v>243</v>
      </c>
      <c r="G36" s="2" t="s">
        <v>244</v>
      </c>
      <c r="H36" s="2" t="s">
        <v>24</v>
      </c>
      <c r="I36" s="2" t="s">
        <v>89</v>
      </c>
      <c r="J36" s="2" t="s">
        <v>72</v>
      </c>
      <c r="K36" s="2" t="s">
        <v>73</v>
      </c>
      <c r="L36" s="2" t="s">
        <v>28</v>
      </c>
      <c r="M36" s="2" t="s">
        <v>50</v>
      </c>
      <c r="N36" s="2" t="s">
        <v>245</v>
      </c>
      <c r="O36" s="2" t="s">
        <v>147</v>
      </c>
      <c r="P36" s="3" t="s">
        <v>246</v>
      </c>
      <c r="Q36" s="2" t="s">
        <v>33</v>
      </c>
    </row>
    <row r="37" customFormat="false" ht="23.85" hidden="false" customHeight="false" outlineLevel="0" collapsed="false">
      <c r="A37" s="2" t="s">
        <v>247</v>
      </c>
      <c r="B37" s="2" t="s">
        <v>235</v>
      </c>
      <c r="C37" s="2" t="s">
        <v>19</v>
      </c>
      <c r="D37" s="2" t="s">
        <v>44</v>
      </c>
      <c r="E37" s="2" t="s">
        <v>248</v>
      </c>
      <c r="F37" s="2" t="s">
        <v>249</v>
      </c>
      <c r="G37" s="2" t="s">
        <v>23</v>
      </c>
      <c r="H37" s="2" t="s">
        <v>24</v>
      </c>
      <c r="I37" s="2" t="s">
        <v>38</v>
      </c>
      <c r="J37" s="2" t="s">
        <v>72</v>
      </c>
      <c r="K37" s="2" t="s">
        <v>107</v>
      </c>
      <c r="L37" s="2" t="s">
        <v>28</v>
      </c>
      <c r="M37" s="2" t="s">
        <v>29</v>
      </c>
      <c r="N37" s="2"/>
      <c r="O37" s="2" t="s">
        <v>250</v>
      </c>
      <c r="P37" s="3" t="s">
        <v>251</v>
      </c>
      <c r="Q37" s="2" t="s">
        <v>33</v>
      </c>
    </row>
    <row r="38" customFormat="false" ht="23.85" hidden="false" customHeight="false" outlineLevel="0" collapsed="false">
      <c r="A38" s="2" t="s">
        <v>252</v>
      </c>
      <c r="B38" s="2" t="s">
        <v>235</v>
      </c>
      <c r="C38" s="2" t="s">
        <v>78</v>
      </c>
      <c r="D38" s="2" t="s">
        <v>60</v>
      </c>
      <c r="E38" s="2" t="s">
        <v>253</v>
      </c>
      <c r="F38" s="2" t="s">
        <v>254</v>
      </c>
      <c r="G38" s="2" t="s">
        <v>181</v>
      </c>
      <c r="H38" s="2" t="s">
        <v>24</v>
      </c>
      <c r="I38" s="2" t="s">
        <v>38</v>
      </c>
      <c r="J38" s="2" t="s">
        <v>72</v>
      </c>
      <c r="K38" s="2" t="s">
        <v>65</v>
      </c>
      <c r="L38" s="2" t="s">
        <v>81</v>
      </c>
      <c r="M38" s="2" t="s">
        <v>29</v>
      </c>
      <c r="N38" s="2" t="s">
        <v>255</v>
      </c>
      <c r="O38" s="2" t="s">
        <v>256</v>
      </c>
      <c r="P38" s="3" t="s">
        <v>257</v>
      </c>
      <c r="Q38" s="2" t="s">
        <v>33</v>
      </c>
    </row>
    <row r="39" customFormat="false" ht="23.85" hidden="false" customHeight="false" outlineLevel="0" collapsed="false">
      <c r="A39" s="2" t="s">
        <v>258</v>
      </c>
      <c r="B39" s="2" t="s">
        <v>235</v>
      </c>
      <c r="C39" s="2" t="s">
        <v>78</v>
      </c>
      <c r="D39" s="2" t="s">
        <v>60</v>
      </c>
      <c r="E39" s="2" t="s">
        <v>259</v>
      </c>
      <c r="F39" s="2" t="s">
        <v>260</v>
      </c>
      <c r="G39" s="2" t="s">
        <v>165</v>
      </c>
      <c r="H39" s="2" t="s">
        <v>24</v>
      </c>
      <c r="I39" s="2" t="s">
        <v>38</v>
      </c>
      <c r="J39" s="2" t="s">
        <v>72</v>
      </c>
      <c r="K39" s="2" t="s">
        <v>65</v>
      </c>
      <c r="L39" s="2" t="s">
        <v>81</v>
      </c>
      <c r="M39" s="2" t="s">
        <v>50</v>
      </c>
      <c r="N39" s="2"/>
      <c r="O39" s="2" t="s">
        <v>261</v>
      </c>
      <c r="P39" s="3" t="s">
        <v>262</v>
      </c>
      <c r="Q39" s="2" t="s">
        <v>33</v>
      </c>
    </row>
    <row r="40" customFormat="false" ht="23.85" hidden="false" customHeight="false" outlineLevel="0" collapsed="false">
      <c r="A40" s="2" t="s">
        <v>263</v>
      </c>
      <c r="B40" s="2" t="s">
        <v>235</v>
      </c>
      <c r="C40" s="2" t="s">
        <v>78</v>
      </c>
      <c r="D40" s="2" t="s">
        <v>86</v>
      </c>
      <c r="E40" s="2" t="s">
        <v>264</v>
      </c>
      <c r="F40" s="2" t="s">
        <v>265</v>
      </c>
      <c r="G40" s="2" t="s">
        <v>133</v>
      </c>
      <c r="H40" s="2" t="s">
        <v>24</v>
      </c>
      <c r="I40" s="2" t="s">
        <v>266</v>
      </c>
      <c r="J40" s="2" t="s">
        <v>72</v>
      </c>
      <c r="K40" s="2" t="s">
        <v>65</v>
      </c>
      <c r="L40" s="2" t="s">
        <v>81</v>
      </c>
      <c r="M40" s="2" t="s">
        <v>29</v>
      </c>
      <c r="N40" s="2"/>
      <c r="O40" s="2" t="s">
        <v>267</v>
      </c>
      <c r="P40" s="3" t="s">
        <v>268</v>
      </c>
      <c r="Q40" s="2" t="s">
        <v>33</v>
      </c>
    </row>
    <row r="41" customFormat="false" ht="23.85" hidden="false" customHeight="false" outlineLevel="0" collapsed="false">
      <c r="A41" s="2" t="s">
        <v>269</v>
      </c>
      <c r="B41" s="2" t="s">
        <v>235</v>
      </c>
      <c r="C41" s="2" t="s">
        <v>19</v>
      </c>
      <c r="D41" s="2" t="s">
        <v>86</v>
      </c>
      <c r="E41" s="2" t="s">
        <v>270</v>
      </c>
      <c r="F41" s="2" t="s">
        <v>249</v>
      </c>
      <c r="G41" s="2" t="s">
        <v>206</v>
      </c>
      <c r="H41" s="2" t="s">
        <v>24</v>
      </c>
      <c r="I41" s="2" t="s">
        <v>266</v>
      </c>
      <c r="J41" s="2" t="s">
        <v>72</v>
      </c>
      <c r="K41" s="2" t="s">
        <v>56</v>
      </c>
      <c r="L41" s="2" t="s">
        <v>28</v>
      </c>
      <c r="M41" s="2" t="s">
        <v>29</v>
      </c>
      <c r="N41" s="2" t="s">
        <v>271</v>
      </c>
      <c r="O41" s="2" t="s">
        <v>272</v>
      </c>
      <c r="P41" s="3" t="s">
        <v>273</v>
      </c>
      <c r="Q41" s="2" t="s">
        <v>33</v>
      </c>
    </row>
    <row r="42" customFormat="false" ht="23.85" hidden="false" customHeight="false" outlineLevel="0" collapsed="false">
      <c r="A42" s="2" t="s">
        <v>274</v>
      </c>
      <c r="B42" s="2" t="s">
        <v>235</v>
      </c>
      <c r="C42" s="2" t="s">
        <v>78</v>
      </c>
      <c r="D42" s="2" t="s">
        <v>101</v>
      </c>
      <c r="E42" s="2" t="s">
        <v>275</v>
      </c>
      <c r="F42" s="2" t="s">
        <v>276</v>
      </c>
      <c r="G42" s="2" t="s">
        <v>37</v>
      </c>
      <c r="H42" s="2" t="s">
        <v>24</v>
      </c>
      <c r="I42" s="2" t="s">
        <v>38</v>
      </c>
      <c r="J42" s="2" t="s">
        <v>72</v>
      </c>
      <c r="K42" s="2" t="s">
        <v>73</v>
      </c>
      <c r="L42" s="2" t="s">
        <v>81</v>
      </c>
      <c r="M42" s="2" t="s">
        <v>29</v>
      </c>
      <c r="N42" s="2" t="s">
        <v>277</v>
      </c>
      <c r="O42" s="2" t="s">
        <v>278</v>
      </c>
      <c r="P42" s="3" t="s">
        <v>279</v>
      </c>
      <c r="Q42" s="2" t="s">
        <v>33</v>
      </c>
    </row>
    <row r="43" customFormat="false" ht="15" hidden="false" customHeight="false" outlineLevel="0" collapsed="false">
      <c r="A43" s="2" t="s">
        <v>280</v>
      </c>
      <c r="B43" s="2" t="s">
        <v>235</v>
      </c>
      <c r="C43" s="2" t="s">
        <v>78</v>
      </c>
      <c r="D43" s="2" t="s">
        <v>101</v>
      </c>
      <c r="E43" s="2" t="s">
        <v>281</v>
      </c>
      <c r="F43" s="2" t="s">
        <v>260</v>
      </c>
      <c r="G43" s="2" t="s">
        <v>206</v>
      </c>
      <c r="H43" s="2" t="s">
        <v>24</v>
      </c>
      <c r="I43" s="2" t="s">
        <v>38</v>
      </c>
      <c r="J43" s="2" t="s">
        <v>72</v>
      </c>
      <c r="K43" s="2" t="s">
        <v>107</v>
      </c>
      <c r="L43" s="2" t="s">
        <v>81</v>
      </c>
      <c r="M43" s="2" t="s">
        <v>29</v>
      </c>
      <c r="N43" s="2" t="s">
        <v>282</v>
      </c>
      <c r="O43" s="2" t="s">
        <v>283</v>
      </c>
      <c r="P43" s="3" t="s">
        <v>284</v>
      </c>
      <c r="Q43" s="2" t="s">
        <v>33</v>
      </c>
    </row>
    <row r="44" customFormat="false" ht="23.85" hidden="false" customHeight="false" outlineLevel="0" collapsed="false">
      <c r="A44" s="2" t="s">
        <v>285</v>
      </c>
      <c r="B44" s="2" t="s">
        <v>235</v>
      </c>
      <c r="C44" s="2" t="s">
        <v>78</v>
      </c>
      <c r="D44" s="2" t="s">
        <v>112</v>
      </c>
      <c r="E44" s="2" t="s">
        <v>286</v>
      </c>
      <c r="F44" s="2" t="s">
        <v>287</v>
      </c>
      <c r="G44" s="2" t="s">
        <v>181</v>
      </c>
      <c r="H44" s="2" t="s">
        <v>48</v>
      </c>
      <c r="I44" s="2" t="s">
        <v>38</v>
      </c>
      <c r="J44" s="2" t="s">
        <v>72</v>
      </c>
      <c r="K44" s="2" t="s">
        <v>27</v>
      </c>
      <c r="L44" s="2" t="s">
        <v>81</v>
      </c>
      <c r="M44" s="2" t="s">
        <v>50</v>
      </c>
      <c r="N44" s="2" t="s">
        <v>288</v>
      </c>
      <c r="O44" s="2" t="s">
        <v>289</v>
      </c>
      <c r="P44" s="3" t="s">
        <v>290</v>
      </c>
      <c r="Q44" s="2" t="s">
        <v>33</v>
      </c>
    </row>
    <row r="45" customFormat="false" ht="23.85" hidden="false" customHeight="false" outlineLevel="0" collapsed="false">
      <c r="A45" s="2" t="s">
        <v>291</v>
      </c>
      <c r="B45" s="2" t="s">
        <v>235</v>
      </c>
      <c r="C45" s="2" t="s">
        <v>78</v>
      </c>
      <c r="D45" s="2" t="s">
        <v>112</v>
      </c>
      <c r="E45" s="2" t="s">
        <v>292</v>
      </c>
      <c r="F45" s="2" t="s">
        <v>293</v>
      </c>
      <c r="G45" s="2" t="s">
        <v>122</v>
      </c>
      <c r="H45" s="2" t="s">
        <v>24</v>
      </c>
      <c r="I45" s="2" t="s">
        <v>38</v>
      </c>
      <c r="J45" s="2" t="s">
        <v>72</v>
      </c>
      <c r="K45" s="2" t="s">
        <v>65</v>
      </c>
      <c r="L45" s="2" t="s">
        <v>81</v>
      </c>
      <c r="M45" s="2" t="s">
        <v>29</v>
      </c>
      <c r="N45" s="2"/>
      <c r="O45" s="2" t="s">
        <v>294</v>
      </c>
      <c r="P45" s="3" t="s">
        <v>295</v>
      </c>
      <c r="Q45" s="2" t="s">
        <v>33</v>
      </c>
    </row>
    <row r="46" customFormat="false" ht="23.85" hidden="false" customHeight="false" outlineLevel="0" collapsed="false">
      <c r="A46" s="2" t="s">
        <v>296</v>
      </c>
      <c r="B46" s="2" t="s">
        <v>235</v>
      </c>
      <c r="C46" s="2" t="s">
        <v>19</v>
      </c>
      <c r="D46" s="2" t="s">
        <v>131</v>
      </c>
      <c r="E46" s="2" t="s">
        <v>297</v>
      </c>
      <c r="F46" s="2" t="s">
        <v>260</v>
      </c>
      <c r="G46" s="2" t="s">
        <v>122</v>
      </c>
      <c r="H46" s="2" t="s">
        <v>24</v>
      </c>
      <c r="I46" s="2" t="s">
        <v>38</v>
      </c>
      <c r="J46" s="2" t="s">
        <v>72</v>
      </c>
      <c r="K46" s="2" t="s">
        <v>27</v>
      </c>
      <c r="L46" s="2" t="s">
        <v>28</v>
      </c>
      <c r="M46" s="2" t="s">
        <v>50</v>
      </c>
      <c r="N46" s="2"/>
      <c r="O46" s="2" t="s">
        <v>298</v>
      </c>
      <c r="P46" s="3" t="s">
        <v>299</v>
      </c>
      <c r="Q46" s="2" t="s">
        <v>33</v>
      </c>
    </row>
    <row r="47" customFormat="false" ht="23.85" hidden="false" customHeight="false" outlineLevel="0" collapsed="false">
      <c r="A47" s="2" t="s">
        <v>300</v>
      </c>
      <c r="B47" s="2" t="s">
        <v>235</v>
      </c>
      <c r="C47" s="2" t="s">
        <v>19</v>
      </c>
      <c r="D47" s="2" t="s">
        <v>131</v>
      </c>
      <c r="E47" s="2" t="s">
        <v>301</v>
      </c>
      <c r="F47" s="2" t="s">
        <v>302</v>
      </c>
      <c r="G47" s="2" t="s">
        <v>303</v>
      </c>
      <c r="H47" s="2" t="s">
        <v>48</v>
      </c>
      <c r="I47" s="2" t="s">
        <v>38</v>
      </c>
      <c r="J47" s="2" t="s">
        <v>72</v>
      </c>
      <c r="K47" s="2" t="s">
        <v>27</v>
      </c>
      <c r="L47" s="2" t="s">
        <v>28</v>
      </c>
      <c r="M47" s="2" t="s">
        <v>29</v>
      </c>
      <c r="N47" s="2" t="s">
        <v>304</v>
      </c>
      <c r="O47" s="2" t="s">
        <v>305</v>
      </c>
      <c r="P47" s="3" t="s">
        <v>306</v>
      </c>
      <c r="Q47" s="2" t="s">
        <v>33</v>
      </c>
    </row>
    <row r="48" customFormat="false" ht="15" hidden="false" customHeight="false" outlineLevel="0" collapsed="false">
      <c r="A48" s="2" t="s">
        <v>307</v>
      </c>
      <c r="B48" s="2" t="s">
        <v>235</v>
      </c>
      <c r="C48" s="2" t="s">
        <v>19</v>
      </c>
      <c r="D48" s="2" t="s">
        <v>131</v>
      </c>
      <c r="E48" s="2" t="s">
        <v>308</v>
      </c>
      <c r="F48" s="2" t="s">
        <v>309</v>
      </c>
      <c r="G48" s="2" t="s">
        <v>37</v>
      </c>
      <c r="H48" s="2" t="s">
        <v>55</v>
      </c>
      <c r="I48" s="2" t="s">
        <v>38</v>
      </c>
      <c r="J48" s="2" t="s">
        <v>72</v>
      </c>
      <c r="K48" s="2" t="s">
        <v>107</v>
      </c>
      <c r="L48" s="2" t="s">
        <v>39</v>
      </c>
      <c r="M48" s="2" t="s">
        <v>29</v>
      </c>
      <c r="N48" s="2" t="s">
        <v>310</v>
      </c>
      <c r="O48" s="2" t="s">
        <v>311</v>
      </c>
      <c r="P48" s="3" t="s">
        <v>312</v>
      </c>
      <c r="Q48" s="2" t="s">
        <v>33</v>
      </c>
    </row>
    <row r="49" customFormat="false" ht="15" hidden="false" customHeight="false" outlineLevel="0" collapsed="false">
      <c r="A49" s="2" t="s">
        <v>313</v>
      </c>
      <c r="B49" s="2" t="s">
        <v>235</v>
      </c>
      <c r="C49" s="2" t="s">
        <v>85</v>
      </c>
      <c r="D49" s="2" t="s">
        <v>150</v>
      </c>
      <c r="E49" s="2" t="s">
        <v>314</v>
      </c>
      <c r="F49" s="2" t="s">
        <v>260</v>
      </c>
      <c r="G49" s="2" t="s">
        <v>23</v>
      </c>
      <c r="H49" s="2" t="s">
        <v>24</v>
      </c>
      <c r="I49" s="2" t="s">
        <v>266</v>
      </c>
      <c r="J49" s="2" t="s">
        <v>49</v>
      </c>
      <c r="K49" s="2" t="s">
        <v>107</v>
      </c>
      <c r="L49" s="2" t="s">
        <v>81</v>
      </c>
      <c r="M49" s="2" t="s">
        <v>29</v>
      </c>
      <c r="N49" s="2" t="s">
        <v>315</v>
      </c>
      <c r="O49" s="2" t="s">
        <v>316</v>
      </c>
      <c r="P49" s="3" t="s">
        <v>317</v>
      </c>
      <c r="Q49" s="2" t="s">
        <v>33</v>
      </c>
    </row>
    <row r="50" customFormat="false" ht="23.85" hidden="false" customHeight="false" outlineLevel="0" collapsed="false">
      <c r="A50" s="2" t="s">
        <v>318</v>
      </c>
      <c r="B50" s="2" t="s">
        <v>235</v>
      </c>
      <c r="C50" s="2" t="s">
        <v>19</v>
      </c>
      <c r="D50" s="2" t="s">
        <v>150</v>
      </c>
      <c r="E50" s="2" t="s">
        <v>319</v>
      </c>
      <c r="F50" s="2" t="s">
        <v>196</v>
      </c>
      <c r="G50" s="2" t="s">
        <v>23</v>
      </c>
      <c r="H50" s="2" t="s">
        <v>48</v>
      </c>
      <c r="I50" s="2" t="s">
        <v>89</v>
      </c>
      <c r="J50" s="2" t="s">
        <v>49</v>
      </c>
      <c r="K50" s="2" t="s">
        <v>107</v>
      </c>
      <c r="L50" s="2" t="s">
        <v>28</v>
      </c>
      <c r="M50" s="2" t="s">
        <v>29</v>
      </c>
      <c r="N50" s="2" t="s">
        <v>320</v>
      </c>
      <c r="O50" s="2" t="s">
        <v>321</v>
      </c>
      <c r="P50" s="3" t="s">
        <v>322</v>
      </c>
      <c r="Q50" s="2" t="s">
        <v>33</v>
      </c>
    </row>
    <row r="51" customFormat="false" ht="23.85" hidden="false" customHeight="false" outlineLevel="0" collapsed="false">
      <c r="A51" s="2" t="s">
        <v>323</v>
      </c>
      <c r="B51" s="2" t="s">
        <v>324</v>
      </c>
      <c r="C51" s="2" t="s">
        <v>19</v>
      </c>
      <c r="D51" s="2" t="s">
        <v>20</v>
      </c>
      <c r="E51" s="2" t="s">
        <v>325</v>
      </c>
      <c r="F51" s="2" t="s">
        <v>249</v>
      </c>
      <c r="G51" s="2" t="s">
        <v>37</v>
      </c>
      <c r="H51" s="2" t="s">
        <v>55</v>
      </c>
      <c r="I51" s="2" t="s">
        <v>38</v>
      </c>
      <c r="J51" s="2" t="s">
        <v>72</v>
      </c>
      <c r="K51" s="2" t="s">
        <v>27</v>
      </c>
      <c r="L51" s="2" t="s">
        <v>28</v>
      </c>
      <c r="M51" s="2" t="s">
        <v>29</v>
      </c>
      <c r="N51" s="2" t="s">
        <v>326</v>
      </c>
      <c r="O51" s="2" t="s">
        <v>327</v>
      </c>
      <c r="P51" s="3" t="s">
        <v>328</v>
      </c>
      <c r="Q51" s="2" t="s">
        <v>33</v>
      </c>
    </row>
    <row r="52" customFormat="false" ht="23.85" hidden="false" customHeight="false" outlineLevel="0" collapsed="false">
      <c r="A52" s="2" t="s">
        <v>329</v>
      </c>
      <c r="B52" s="2" t="s">
        <v>324</v>
      </c>
      <c r="C52" s="2" t="s">
        <v>78</v>
      </c>
      <c r="D52" s="2" t="s">
        <v>20</v>
      </c>
      <c r="E52" s="2" t="s">
        <v>330</v>
      </c>
      <c r="F52" s="2" t="s">
        <v>331</v>
      </c>
      <c r="G52" s="2" t="s">
        <v>37</v>
      </c>
      <c r="H52" s="2" t="s">
        <v>48</v>
      </c>
      <c r="I52" s="2" t="s">
        <v>266</v>
      </c>
      <c r="J52" s="2" t="s">
        <v>49</v>
      </c>
      <c r="K52" s="2" t="s">
        <v>27</v>
      </c>
      <c r="L52" s="2" t="s">
        <v>81</v>
      </c>
      <c r="M52" s="2" t="s">
        <v>29</v>
      </c>
      <c r="N52" s="2" t="s">
        <v>332</v>
      </c>
      <c r="O52" s="2" t="s">
        <v>333</v>
      </c>
      <c r="P52" s="3" t="s">
        <v>334</v>
      </c>
      <c r="Q52" s="2" t="s">
        <v>33</v>
      </c>
    </row>
    <row r="53" customFormat="false" ht="23.85" hidden="false" customHeight="false" outlineLevel="0" collapsed="false">
      <c r="A53" s="2" t="s">
        <v>335</v>
      </c>
      <c r="B53" s="2" t="s">
        <v>324</v>
      </c>
      <c r="C53" s="2" t="s">
        <v>19</v>
      </c>
      <c r="D53" s="2" t="s">
        <v>44</v>
      </c>
      <c r="E53" s="2" t="s">
        <v>336</v>
      </c>
      <c r="F53" s="2" t="s">
        <v>95</v>
      </c>
      <c r="G53" s="2" t="s">
        <v>37</v>
      </c>
      <c r="H53" s="2" t="s">
        <v>55</v>
      </c>
      <c r="I53" s="2" t="s">
        <v>38</v>
      </c>
      <c r="J53" s="2" t="s">
        <v>72</v>
      </c>
      <c r="K53" s="2" t="s">
        <v>27</v>
      </c>
      <c r="L53" s="2" t="s">
        <v>39</v>
      </c>
      <c r="M53" s="2" t="s">
        <v>29</v>
      </c>
      <c r="N53" s="2" t="s">
        <v>337</v>
      </c>
      <c r="O53" s="2" t="s">
        <v>338</v>
      </c>
      <c r="P53" s="3" t="s">
        <v>339</v>
      </c>
      <c r="Q53" s="2" t="s">
        <v>33</v>
      </c>
    </row>
    <row r="54" customFormat="false" ht="15" hidden="false" customHeight="false" outlineLevel="0" collapsed="false">
      <c r="A54" s="2" t="s">
        <v>340</v>
      </c>
      <c r="B54" s="2" t="s">
        <v>324</v>
      </c>
      <c r="C54" s="2" t="s">
        <v>19</v>
      </c>
      <c r="D54" s="2" t="s">
        <v>44</v>
      </c>
      <c r="E54" s="2" t="s">
        <v>341</v>
      </c>
      <c r="F54" s="2" t="s">
        <v>342</v>
      </c>
      <c r="G54" s="2" t="s">
        <v>37</v>
      </c>
      <c r="H54" s="2" t="s">
        <v>48</v>
      </c>
      <c r="I54" s="2" t="s">
        <v>38</v>
      </c>
      <c r="J54" s="2" t="s">
        <v>49</v>
      </c>
      <c r="K54" s="2" t="s">
        <v>107</v>
      </c>
      <c r="L54" s="2" t="s">
        <v>81</v>
      </c>
      <c r="M54" s="2" t="s">
        <v>29</v>
      </c>
      <c r="N54" s="2" t="s">
        <v>343</v>
      </c>
      <c r="O54" s="2" t="s">
        <v>31</v>
      </c>
      <c r="P54" s="3" t="s">
        <v>344</v>
      </c>
      <c r="Q54" s="2" t="s">
        <v>33</v>
      </c>
    </row>
    <row r="55" customFormat="false" ht="23.85" hidden="false" customHeight="false" outlineLevel="0" collapsed="false">
      <c r="A55" s="2" t="s">
        <v>345</v>
      </c>
      <c r="B55" s="2" t="s">
        <v>324</v>
      </c>
      <c r="C55" s="2" t="s">
        <v>78</v>
      </c>
      <c r="D55" s="2" t="s">
        <v>60</v>
      </c>
      <c r="E55" s="2" t="s">
        <v>346</v>
      </c>
      <c r="F55" s="2" t="s">
        <v>287</v>
      </c>
      <c r="G55" s="2" t="s">
        <v>63</v>
      </c>
      <c r="H55" s="2" t="s">
        <v>55</v>
      </c>
      <c r="I55" s="2" t="s">
        <v>38</v>
      </c>
      <c r="J55" s="2" t="s">
        <v>72</v>
      </c>
      <c r="K55" s="2" t="s">
        <v>65</v>
      </c>
      <c r="L55" s="2" t="s">
        <v>81</v>
      </c>
      <c r="M55" s="2" t="s">
        <v>50</v>
      </c>
      <c r="N55" s="2" t="s">
        <v>347</v>
      </c>
      <c r="O55" s="2" t="s">
        <v>289</v>
      </c>
      <c r="P55" s="3" t="s">
        <v>348</v>
      </c>
      <c r="Q55" s="2" t="s">
        <v>33</v>
      </c>
    </row>
    <row r="56" customFormat="false" ht="23.85" hidden="false" customHeight="false" outlineLevel="0" collapsed="false">
      <c r="A56" s="2" t="s">
        <v>349</v>
      </c>
      <c r="B56" s="2" t="s">
        <v>324</v>
      </c>
      <c r="C56" s="2" t="s">
        <v>19</v>
      </c>
      <c r="D56" s="2" t="s">
        <v>60</v>
      </c>
      <c r="E56" s="2" t="s">
        <v>350</v>
      </c>
      <c r="F56" s="2" t="s">
        <v>351</v>
      </c>
      <c r="G56" s="2" t="s">
        <v>133</v>
      </c>
      <c r="H56" s="2" t="s">
        <v>55</v>
      </c>
      <c r="I56" s="2" t="s">
        <v>38</v>
      </c>
      <c r="J56" s="2" t="s">
        <v>72</v>
      </c>
      <c r="K56" s="2" t="s">
        <v>27</v>
      </c>
      <c r="L56" s="2" t="s">
        <v>28</v>
      </c>
      <c r="M56" s="2" t="s">
        <v>50</v>
      </c>
      <c r="N56" s="2" t="s">
        <v>352</v>
      </c>
      <c r="O56" s="2" t="s">
        <v>147</v>
      </c>
      <c r="P56" s="3" t="s">
        <v>353</v>
      </c>
      <c r="Q56" s="2" t="s">
        <v>33</v>
      </c>
    </row>
    <row r="57" customFormat="false" ht="15" hidden="false" customHeight="false" outlineLevel="0" collapsed="false">
      <c r="A57" s="2" t="s">
        <v>354</v>
      </c>
      <c r="B57" s="2" t="s">
        <v>324</v>
      </c>
      <c r="C57" s="2" t="s">
        <v>78</v>
      </c>
      <c r="D57" s="2" t="s">
        <v>86</v>
      </c>
      <c r="E57" s="2" t="s">
        <v>132</v>
      </c>
      <c r="F57" s="2" t="s">
        <v>355</v>
      </c>
      <c r="G57" s="2" t="s">
        <v>133</v>
      </c>
      <c r="H57" s="2" t="s">
        <v>55</v>
      </c>
      <c r="I57" s="2" t="s">
        <v>266</v>
      </c>
      <c r="J57" s="2" t="s">
        <v>72</v>
      </c>
      <c r="K57" s="2" t="s">
        <v>65</v>
      </c>
      <c r="L57" s="2" t="s">
        <v>81</v>
      </c>
      <c r="M57" s="2" t="s">
        <v>29</v>
      </c>
      <c r="N57" s="2" t="s">
        <v>356</v>
      </c>
      <c r="O57" s="2" t="s">
        <v>357</v>
      </c>
      <c r="P57" s="3" t="s">
        <v>358</v>
      </c>
      <c r="Q57" s="2" t="s">
        <v>33</v>
      </c>
    </row>
    <row r="58" customFormat="false" ht="23.85" hidden="false" customHeight="false" outlineLevel="0" collapsed="false">
      <c r="A58" s="2" t="s">
        <v>359</v>
      </c>
      <c r="B58" s="2" t="s">
        <v>324</v>
      </c>
      <c r="C58" s="2" t="s">
        <v>19</v>
      </c>
      <c r="D58" s="2" t="s">
        <v>86</v>
      </c>
      <c r="E58" s="2" t="s">
        <v>360</v>
      </c>
      <c r="F58" s="2" t="s">
        <v>361</v>
      </c>
      <c r="G58" s="2" t="s">
        <v>362</v>
      </c>
      <c r="H58" s="2" t="s">
        <v>55</v>
      </c>
      <c r="I58" s="2" t="s">
        <v>38</v>
      </c>
      <c r="J58" s="2" t="s">
        <v>72</v>
      </c>
      <c r="K58" s="2" t="s">
        <v>65</v>
      </c>
      <c r="L58" s="2" t="s">
        <v>28</v>
      </c>
      <c r="M58" s="2" t="s">
        <v>29</v>
      </c>
      <c r="N58" s="2" t="s">
        <v>363</v>
      </c>
      <c r="O58" s="2" t="s">
        <v>232</v>
      </c>
      <c r="P58" s="3" t="s">
        <v>364</v>
      </c>
      <c r="Q58" s="2" t="s">
        <v>33</v>
      </c>
    </row>
    <row r="59" customFormat="false" ht="15" hidden="false" customHeight="false" outlineLevel="0" collapsed="false">
      <c r="A59" s="2" t="s">
        <v>365</v>
      </c>
      <c r="B59" s="2" t="s">
        <v>324</v>
      </c>
      <c r="C59" s="2" t="s">
        <v>19</v>
      </c>
      <c r="D59" s="2" t="s">
        <v>101</v>
      </c>
      <c r="E59" s="2" t="s">
        <v>366</v>
      </c>
      <c r="F59" s="2" t="s">
        <v>254</v>
      </c>
      <c r="G59" s="2" t="s">
        <v>37</v>
      </c>
      <c r="H59" s="2" t="s">
        <v>55</v>
      </c>
      <c r="I59" s="2" t="s">
        <v>38</v>
      </c>
      <c r="J59" s="2" t="s">
        <v>72</v>
      </c>
      <c r="K59" s="2" t="s">
        <v>56</v>
      </c>
      <c r="L59" s="2" t="s">
        <v>28</v>
      </c>
      <c r="M59" s="2" t="s">
        <v>29</v>
      </c>
      <c r="N59" s="2" t="s">
        <v>367</v>
      </c>
      <c r="O59" s="2" t="s">
        <v>368</v>
      </c>
      <c r="P59" s="3" t="s">
        <v>369</v>
      </c>
      <c r="Q59" s="2" t="s">
        <v>33</v>
      </c>
    </row>
    <row r="60" customFormat="false" ht="15" hidden="false" customHeight="false" outlineLevel="0" collapsed="false">
      <c r="A60" s="2" t="s">
        <v>370</v>
      </c>
      <c r="B60" s="2" t="s">
        <v>324</v>
      </c>
      <c r="C60" s="2" t="s">
        <v>19</v>
      </c>
      <c r="D60" s="2" t="s">
        <v>101</v>
      </c>
      <c r="E60" s="2" t="s">
        <v>371</v>
      </c>
      <c r="F60" s="2" t="s">
        <v>254</v>
      </c>
      <c r="G60" s="2" t="s">
        <v>37</v>
      </c>
      <c r="H60" s="2" t="s">
        <v>55</v>
      </c>
      <c r="I60" s="2" t="s">
        <v>38</v>
      </c>
      <c r="J60" s="2" t="s">
        <v>72</v>
      </c>
      <c r="K60" s="2" t="s">
        <v>27</v>
      </c>
      <c r="L60" s="2" t="s">
        <v>28</v>
      </c>
      <c r="M60" s="2" t="s">
        <v>29</v>
      </c>
      <c r="N60" s="2" t="s">
        <v>372</v>
      </c>
      <c r="O60" s="2" t="s">
        <v>31</v>
      </c>
      <c r="P60" s="3" t="s">
        <v>373</v>
      </c>
      <c r="Q60" s="2" t="s">
        <v>33</v>
      </c>
    </row>
    <row r="61" customFormat="false" ht="23.85" hidden="false" customHeight="false" outlineLevel="0" collapsed="false">
      <c r="A61" s="2" t="s">
        <v>374</v>
      </c>
      <c r="B61" s="2" t="s">
        <v>324</v>
      </c>
      <c r="C61" s="2" t="s">
        <v>78</v>
      </c>
      <c r="D61" s="2" t="s">
        <v>112</v>
      </c>
      <c r="E61" s="2" t="s">
        <v>375</v>
      </c>
      <c r="F61" s="2" t="s">
        <v>287</v>
      </c>
      <c r="G61" s="2" t="s">
        <v>37</v>
      </c>
      <c r="H61" s="2" t="s">
        <v>55</v>
      </c>
      <c r="I61" s="2" t="s">
        <v>38</v>
      </c>
      <c r="J61" s="2" t="s">
        <v>72</v>
      </c>
      <c r="K61" s="2" t="s">
        <v>27</v>
      </c>
      <c r="L61" s="2" t="s">
        <v>81</v>
      </c>
      <c r="M61" s="2" t="s">
        <v>29</v>
      </c>
      <c r="N61" s="2" t="s">
        <v>376</v>
      </c>
      <c r="O61" s="2" t="s">
        <v>377</v>
      </c>
      <c r="P61" s="3" t="s">
        <v>378</v>
      </c>
      <c r="Q61" s="2" t="s">
        <v>33</v>
      </c>
    </row>
    <row r="62" customFormat="false" ht="23.85" hidden="false" customHeight="false" outlineLevel="0" collapsed="false">
      <c r="A62" s="2" t="s">
        <v>379</v>
      </c>
      <c r="B62" s="2" t="s">
        <v>324</v>
      </c>
      <c r="C62" s="2" t="s">
        <v>78</v>
      </c>
      <c r="D62" s="2" t="s">
        <v>112</v>
      </c>
      <c r="E62" s="2" t="s">
        <v>380</v>
      </c>
      <c r="F62" s="2" t="s">
        <v>287</v>
      </c>
      <c r="G62" s="2" t="s">
        <v>63</v>
      </c>
      <c r="H62" s="2" t="s">
        <v>55</v>
      </c>
      <c r="I62" s="2" t="s">
        <v>38</v>
      </c>
      <c r="J62" s="2" t="s">
        <v>49</v>
      </c>
      <c r="K62" s="2" t="s">
        <v>27</v>
      </c>
      <c r="L62" s="2" t="s">
        <v>81</v>
      </c>
      <c r="M62" s="2" t="s">
        <v>29</v>
      </c>
      <c r="N62" s="2" t="s">
        <v>381</v>
      </c>
      <c r="O62" s="2" t="s">
        <v>382</v>
      </c>
      <c r="P62" s="3" t="s">
        <v>383</v>
      </c>
      <c r="Q62" s="2" t="s">
        <v>33</v>
      </c>
    </row>
    <row r="63" customFormat="false" ht="23.85" hidden="false" customHeight="false" outlineLevel="0" collapsed="false">
      <c r="A63" s="2" t="s">
        <v>384</v>
      </c>
      <c r="B63" s="2" t="s">
        <v>324</v>
      </c>
      <c r="C63" s="2" t="s">
        <v>19</v>
      </c>
      <c r="D63" s="2" t="s">
        <v>131</v>
      </c>
      <c r="E63" s="2" t="s">
        <v>385</v>
      </c>
      <c r="F63" s="2" t="s">
        <v>287</v>
      </c>
      <c r="G63" s="2" t="s">
        <v>71</v>
      </c>
      <c r="H63" s="2" t="s">
        <v>55</v>
      </c>
      <c r="I63" s="2" t="s">
        <v>38</v>
      </c>
      <c r="J63" s="2" t="s">
        <v>72</v>
      </c>
      <c r="K63" s="2" t="s">
        <v>65</v>
      </c>
      <c r="L63" s="2" t="s">
        <v>28</v>
      </c>
      <c r="M63" s="2" t="s">
        <v>50</v>
      </c>
      <c r="N63" s="2" t="s">
        <v>386</v>
      </c>
      <c r="O63" s="2" t="s">
        <v>147</v>
      </c>
      <c r="P63" s="3" t="s">
        <v>387</v>
      </c>
      <c r="Q63" s="2" t="s">
        <v>33</v>
      </c>
    </row>
    <row r="64" customFormat="false" ht="23.85" hidden="false" customHeight="false" outlineLevel="0" collapsed="false">
      <c r="A64" s="2" t="s">
        <v>388</v>
      </c>
      <c r="B64" s="2" t="s">
        <v>324</v>
      </c>
      <c r="C64" s="2" t="s">
        <v>19</v>
      </c>
      <c r="D64" s="2" t="s">
        <v>131</v>
      </c>
      <c r="E64" s="2" t="s">
        <v>389</v>
      </c>
      <c r="F64" s="2" t="s">
        <v>309</v>
      </c>
      <c r="G64" s="2" t="s">
        <v>37</v>
      </c>
      <c r="H64" s="2" t="s">
        <v>55</v>
      </c>
      <c r="I64" s="2" t="s">
        <v>38</v>
      </c>
      <c r="J64" s="2" t="s">
        <v>72</v>
      </c>
      <c r="K64" s="2" t="s">
        <v>27</v>
      </c>
      <c r="L64" s="2" t="s">
        <v>28</v>
      </c>
      <c r="M64" s="2" t="s">
        <v>29</v>
      </c>
      <c r="N64" s="2" t="s">
        <v>390</v>
      </c>
      <c r="O64" s="2" t="s">
        <v>391</v>
      </c>
      <c r="P64" s="3" t="s">
        <v>392</v>
      </c>
      <c r="Q64" s="2" t="s">
        <v>33</v>
      </c>
    </row>
    <row r="65" customFormat="false" ht="15" hidden="false" customHeight="false" outlineLevel="0" collapsed="false">
      <c r="A65" s="2" t="s">
        <v>393</v>
      </c>
      <c r="B65" s="2" t="s">
        <v>324</v>
      </c>
      <c r="C65" s="2" t="s">
        <v>78</v>
      </c>
      <c r="D65" s="2" t="s">
        <v>150</v>
      </c>
      <c r="E65" s="2" t="s">
        <v>394</v>
      </c>
      <c r="F65" s="2" t="s">
        <v>395</v>
      </c>
      <c r="G65" s="2" t="s">
        <v>37</v>
      </c>
      <c r="H65" s="2" t="s">
        <v>48</v>
      </c>
      <c r="I65" s="2" t="s">
        <v>266</v>
      </c>
      <c r="J65" s="2" t="s">
        <v>49</v>
      </c>
      <c r="K65" s="2" t="s">
        <v>27</v>
      </c>
      <c r="L65" s="2" t="s">
        <v>81</v>
      </c>
      <c r="M65" s="2" t="s">
        <v>29</v>
      </c>
      <c r="N65" s="2" t="s">
        <v>396</v>
      </c>
      <c r="O65" s="2" t="s">
        <v>397</v>
      </c>
      <c r="P65" s="3" t="s">
        <v>398</v>
      </c>
      <c r="Q65" s="2" t="s">
        <v>33</v>
      </c>
    </row>
    <row r="66" customFormat="false" ht="23.85" hidden="false" customHeight="false" outlineLevel="0" collapsed="false">
      <c r="A66" s="2" t="s">
        <v>399</v>
      </c>
      <c r="B66" s="2" t="s">
        <v>324</v>
      </c>
      <c r="C66" s="2" t="s">
        <v>19</v>
      </c>
      <c r="D66" s="2" t="s">
        <v>150</v>
      </c>
      <c r="E66" s="2" t="s">
        <v>400</v>
      </c>
      <c r="F66" s="2" t="s">
        <v>95</v>
      </c>
      <c r="G66" s="2" t="s">
        <v>37</v>
      </c>
      <c r="H66" s="2" t="s">
        <v>55</v>
      </c>
      <c r="I66" s="2" t="s">
        <v>38</v>
      </c>
      <c r="J66" s="2" t="s">
        <v>72</v>
      </c>
      <c r="K66" s="2" t="s">
        <v>56</v>
      </c>
      <c r="L66" s="2" t="s">
        <v>39</v>
      </c>
      <c r="M66" s="2" t="s">
        <v>29</v>
      </c>
      <c r="N66" s="2" t="s">
        <v>401</v>
      </c>
      <c r="O66" s="2" t="s">
        <v>402</v>
      </c>
      <c r="P66" s="3" t="s">
        <v>403</v>
      </c>
      <c r="Q66" s="2" t="s">
        <v>33</v>
      </c>
    </row>
    <row r="67" customFormat="false" ht="15" hidden="false" customHeight="false" outlineLevel="0" collapsed="false">
      <c r="A67" s="2" t="s">
        <v>404</v>
      </c>
      <c r="B67" s="2" t="s">
        <v>405</v>
      </c>
      <c r="C67" s="2" t="s">
        <v>19</v>
      </c>
      <c r="D67" s="2" t="s">
        <v>20</v>
      </c>
      <c r="E67" s="2" t="s">
        <v>406</v>
      </c>
      <c r="F67" s="2" t="s">
        <v>407</v>
      </c>
      <c r="G67" s="2" t="s">
        <v>408</v>
      </c>
      <c r="H67" s="2" t="s">
        <v>55</v>
      </c>
      <c r="I67" s="2" t="s">
        <v>266</v>
      </c>
      <c r="J67" s="2" t="s">
        <v>72</v>
      </c>
      <c r="K67" s="2" t="s">
        <v>27</v>
      </c>
      <c r="L67" s="2" t="s">
        <v>28</v>
      </c>
      <c r="M67" s="2" t="s">
        <v>29</v>
      </c>
      <c r="N67" s="2" t="s">
        <v>409</v>
      </c>
      <c r="O67" s="2" t="s">
        <v>410</v>
      </c>
      <c r="P67" s="3" t="s">
        <v>411</v>
      </c>
      <c r="Q67" s="2" t="s">
        <v>33</v>
      </c>
    </row>
    <row r="68" customFormat="false" ht="15" hidden="false" customHeight="false" outlineLevel="0" collapsed="false">
      <c r="A68" s="2" t="s">
        <v>412</v>
      </c>
      <c r="B68" s="2" t="s">
        <v>405</v>
      </c>
      <c r="C68" s="2" t="s">
        <v>19</v>
      </c>
      <c r="D68" s="2" t="s">
        <v>20</v>
      </c>
      <c r="E68" s="2" t="s">
        <v>170</v>
      </c>
      <c r="F68" s="2" t="s">
        <v>413</v>
      </c>
      <c r="G68" s="2" t="s">
        <v>37</v>
      </c>
      <c r="H68" s="2" t="s">
        <v>55</v>
      </c>
      <c r="I68" s="2" t="s">
        <v>38</v>
      </c>
      <c r="J68" s="2" t="s">
        <v>26</v>
      </c>
      <c r="K68" s="2" t="s">
        <v>27</v>
      </c>
      <c r="L68" s="2" t="s">
        <v>39</v>
      </c>
      <c r="M68" s="2" t="s">
        <v>29</v>
      </c>
      <c r="N68" s="2" t="s">
        <v>414</v>
      </c>
      <c r="O68" s="2" t="s">
        <v>415</v>
      </c>
      <c r="P68" s="3" t="s">
        <v>416</v>
      </c>
      <c r="Q68" s="2" t="s">
        <v>33</v>
      </c>
    </row>
    <row r="69" customFormat="false" ht="23.85" hidden="false" customHeight="false" outlineLevel="0" collapsed="false">
      <c r="A69" s="2" t="s">
        <v>417</v>
      </c>
      <c r="B69" s="2" t="s">
        <v>405</v>
      </c>
      <c r="C69" s="2" t="s">
        <v>19</v>
      </c>
      <c r="D69" s="2" t="s">
        <v>44</v>
      </c>
      <c r="E69" s="2" t="s">
        <v>418</v>
      </c>
      <c r="F69" s="2" t="s">
        <v>36</v>
      </c>
      <c r="G69" s="2" t="s">
        <v>37</v>
      </c>
      <c r="H69" s="2" t="s">
        <v>55</v>
      </c>
      <c r="I69" s="2" t="s">
        <v>25</v>
      </c>
      <c r="J69" s="2" t="s">
        <v>49</v>
      </c>
      <c r="K69" s="2" t="s">
        <v>73</v>
      </c>
      <c r="L69" s="2" t="s">
        <v>39</v>
      </c>
      <c r="M69" s="2" t="s">
        <v>50</v>
      </c>
      <c r="N69" s="2"/>
      <c r="O69" s="2" t="s">
        <v>419</v>
      </c>
      <c r="P69" s="3" t="s">
        <v>420</v>
      </c>
      <c r="Q69" s="2" t="s">
        <v>33</v>
      </c>
    </row>
    <row r="70" customFormat="false" ht="15" hidden="false" customHeight="false" outlineLevel="0" collapsed="false">
      <c r="A70" s="2" t="s">
        <v>421</v>
      </c>
      <c r="B70" s="2" t="s">
        <v>405</v>
      </c>
      <c r="C70" s="2" t="s">
        <v>19</v>
      </c>
      <c r="D70" s="2" t="s">
        <v>44</v>
      </c>
      <c r="E70" s="2" t="s">
        <v>422</v>
      </c>
      <c r="F70" s="2" t="s">
        <v>249</v>
      </c>
      <c r="G70" s="2" t="s">
        <v>37</v>
      </c>
      <c r="H70" s="2" t="s">
        <v>55</v>
      </c>
      <c r="I70" s="2" t="s">
        <v>38</v>
      </c>
      <c r="J70" s="2" t="s">
        <v>49</v>
      </c>
      <c r="K70" s="2" t="s">
        <v>107</v>
      </c>
      <c r="L70" s="2" t="s">
        <v>39</v>
      </c>
      <c r="M70" s="2" t="s">
        <v>29</v>
      </c>
      <c r="N70" s="2" t="s">
        <v>423</v>
      </c>
      <c r="O70" s="2" t="s">
        <v>424</v>
      </c>
      <c r="P70" s="3" t="s">
        <v>425</v>
      </c>
      <c r="Q70" s="2" t="s">
        <v>33</v>
      </c>
    </row>
    <row r="71" customFormat="false" ht="23.85" hidden="false" customHeight="false" outlineLevel="0" collapsed="false">
      <c r="A71" s="2" t="s">
        <v>426</v>
      </c>
      <c r="B71" s="2" t="s">
        <v>405</v>
      </c>
      <c r="C71" s="2" t="s">
        <v>78</v>
      </c>
      <c r="D71" s="2" t="s">
        <v>60</v>
      </c>
      <c r="E71" s="2" t="s">
        <v>427</v>
      </c>
      <c r="F71" s="2" t="s">
        <v>287</v>
      </c>
      <c r="G71" s="2" t="s">
        <v>206</v>
      </c>
      <c r="H71" s="2" t="s">
        <v>48</v>
      </c>
      <c r="I71" s="2" t="s">
        <v>38</v>
      </c>
      <c r="J71" s="2" t="s">
        <v>64</v>
      </c>
      <c r="K71" s="2" t="s">
        <v>107</v>
      </c>
      <c r="L71" s="2" t="s">
        <v>81</v>
      </c>
      <c r="M71" s="2" t="s">
        <v>29</v>
      </c>
      <c r="N71" s="2" t="s">
        <v>428</v>
      </c>
      <c r="O71" s="2" t="s">
        <v>391</v>
      </c>
      <c r="P71" s="3" t="s">
        <v>429</v>
      </c>
      <c r="Q71" s="2" t="s">
        <v>33</v>
      </c>
    </row>
    <row r="72" customFormat="false" ht="23.85" hidden="false" customHeight="false" outlineLevel="0" collapsed="false">
      <c r="A72" s="2" t="s">
        <v>430</v>
      </c>
      <c r="B72" s="2" t="s">
        <v>405</v>
      </c>
      <c r="C72" s="2" t="s">
        <v>19</v>
      </c>
      <c r="D72" s="2" t="s">
        <v>101</v>
      </c>
      <c r="E72" s="2" t="s">
        <v>431</v>
      </c>
      <c r="F72" s="2" t="s">
        <v>22</v>
      </c>
      <c r="G72" s="2" t="s">
        <v>408</v>
      </c>
      <c r="H72" s="2" t="s">
        <v>55</v>
      </c>
      <c r="I72" s="2" t="s">
        <v>25</v>
      </c>
      <c r="J72" s="2" t="s">
        <v>64</v>
      </c>
      <c r="K72" s="2" t="s">
        <v>56</v>
      </c>
      <c r="L72" s="2" t="s">
        <v>28</v>
      </c>
      <c r="M72" s="2" t="s">
        <v>29</v>
      </c>
      <c r="N72" s="2" t="s">
        <v>432</v>
      </c>
      <c r="O72" s="2" t="s">
        <v>433</v>
      </c>
      <c r="P72" s="3" t="s">
        <v>434</v>
      </c>
      <c r="Q72" s="2" t="s">
        <v>33</v>
      </c>
    </row>
    <row r="73" customFormat="false" ht="15" hidden="false" customHeight="false" outlineLevel="0" collapsed="false">
      <c r="A73" s="2" t="s">
        <v>435</v>
      </c>
      <c r="B73" s="2" t="s">
        <v>405</v>
      </c>
      <c r="C73" s="2" t="s">
        <v>19</v>
      </c>
      <c r="D73" s="2" t="s">
        <v>101</v>
      </c>
      <c r="E73" s="2" t="s">
        <v>436</v>
      </c>
      <c r="F73" s="2" t="s">
        <v>413</v>
      </c>
      <c r="G73" s="2" t="s">
        <v>37</v>
      </c>
      <c r="H73" s="2" t="s">
        <v>55</v>
      </c>
      <c r="I73" s="2" t="s">
        <v>38</v>
      </c>
      <c r="J73" s="2" t="s">
        <v>49</v>
      </c>
      <c r="K73" s="2" t="s">
        <v>73</v>
      </c>
      <c r="L73" s="2" t="s">
        <v>39</v>
      </c>
      <c r="M73" s="2" t="s">
        <v>29</v>
      </c>
      <c r="N73" s="2" t="s">
        <v>437</v>
      </c>
      <c r="O73" s="2" t="s">
        <v>31</v>
      </c>
      <c r="P73" s="3" t="s">
        <v>438</v>
      </c>
      <c r="Q73" s="2" t="s">
        <v>33</v>
      </c>
    </row>
    <row r="74" customFormat="false" ht="23.85" hidden="false" customHeight="false" outlineLevel="0" collapsed="false">
      <c r="A74" s="2" t="s">
        <v>439</v>
      </c>
      <c r="B74" s="2" t="s">
        <v>405</v>
      </c>
      <c r="C74" s="2" t="s">
        <v>78</v>
      </c>
      <c r="D74" s="2" t="s">
        <v>112</v>
      </c>
      <c r="E74" s="2" t="s">
        <v>440</v>
      </c>
      <c r="F74" s="2" t="s">
        <v>95</v>
      </c>
      <c r="G74" s="2" t="s">
        <v>37</v>
      </c>
      <c r="H74" s="2" t="s">
        <v>55</v>
      </c>
      <c r="I74" s="2" t="s">
        <v>25</v>
      </c>
      <c r="J74" s="2" t="s">
        <v>64</v>
      </c>
      <c r="K74" s="2" t="s">
        <v>27</v>
      </c>
      <c r="L74" s="2" t="s">
        <v>81</v>
      </c>
      <c r="M74" s="2" t="s">
        <v>29</v>
      </c>
      <c r="N74" s="2" t="s">
        <v>441</v>
      </c>
      <c r="O74" s="2" t="s">
        <v>391</v>
      </c>
      <c r="P74" s="3" t="s">
        <v>442</v>
      </c>
      <c r="Q74" s="2" t="s">
        <v>33</v>
      </c>
    </row>
    <row r="75" customFormat="false" ht="23.85" hidden="false" customHeight="false" outlineLevel="0" collapsed="false">
      <c r="A75" s="2" t="s">
        <v>443</v>
      </c>
      <c r="B75" s="2" t="s">
        <v>405</v>
      </c>
      <c r="C75" s="2" t="s">
        <v>19</v>
      </c>
      <c r="D75" s="2" t="s">
        <v>131</v>
      </c>
      <c r="E75" s="2" t="s">
        <v>444</v>
      </c>
      <c r="F75" s="2" t="s">
        <v>361</v>
      </c>
      <c r="G75" s="2" t="s">
        <v>206</v>
      </c>
      <c r="H75" s="2" t="s">
        <v>24</v>
      </c>
      <c r="I75" s="2" t="s">
        <v>266</v>
      </c>
      <c r="J75" s="2" t="s">
        <v>49</v>
      </c>
      <c r="K75" s="2" t="s">
        <v>107</v>
      </c>
      <c r="L75" s="2" t="s">
        <v>28</v>
      </c>
      <c r="M75" s="2" t="s">
        <v>29</v>
      </c>
      <c r="N75" s="2" t="s">
        <v>445</v>
      </c>
      <c r="O75" s="2" t="s">
        <v>446</v>
      </c>
      <c r="P75" s="3" t="s">
        <v>447</v>
      </c>
      <c r="Q75" s="2" t="s">
        <v>33</v>
      </c>
    </row>
    <row r="76" customFormat="false" ht="15" hidden="false" customHeight="false" outlineLevel="0" collapsed="false">
      <c r="A76" s="2" t="s">
        <v>448</v>
      </c>
      <c r="B76" s="2" t="s">
        <v>405</v>
      </c>
      <c r="C76" s="2" t="s">
        <v>19</v>
      </c>
      <c r="D76" s="2" t="s">
        <v>131</v>
      </c>
      <c r="E76" s="2" t="s">
        <v>449</v>
      </c>
      <c r="F76" s="2" t="s">
        <v>413</v>
      </c>
      <c r="G76" s="2" t="s">
        <v>37</v>
      </c>
      <c r="H76" s="2" t="s">
        <v>55</v>
      </c>
      <c r="I76" s="2" t="s">
        <v>38</v>
      </c>
      <c r="J76" s="2" t="s">
        <v>72</v>
      </c>
      <c r="K76" s="2" t="s">
        <v>107</v>
      </c>
      <c r="L76" s="2" t="s">
        <v>28</v>
      </c>
      <c r="M76" s="2" t="s">
        <v>29</v>
      </c>
      <c r="N76" s="2" t="s">
        <v>450</v>
      </c>
      <c r="O76" s="2" t="s">
        <v>31</v>
      </c>
      <c r="P76" s="3" t="s">
        <v>451</v>
      </c>
      <c r="Q76" s="2" t="s">
        <v>33</v>
      </c>
    </row>
    <row r="77" customFormat="false" ht="23.85" hidden="false" customHeight="false" outlineLevel="0" collapsed="false">
      <c r="A77" s="2" t="s">
        <v>452</v>
      </c>
      <c r="B77" s="2" t="s">
        <v>405</v>
      </c>
      <c r="C77" s="2" t="s">
        <v>19</v>
      </c>
      <c r="D77" s="2" t="s">
        <v>150</v>
      </c>
      <c r="E77" s="2" t="s">
        <v>453</v>
      </c>
      <c r="F77" s="2" t="s">
        <v>260</v>
      </c>
      <c r="G77" s="2" t="s">
        <v>37</v>
      </c>
      <c r="H77" s="2" t="s">
        <v>55</v>
      </c>
      <c r="I77" s="2" t="s">
        <v>38</v>
      </c>
      <c r="J77" s="2" t="s">
        <v>49</v>
      </c>
      <c r="K77" s="2" t="s">
        <v>107</v>
      </c>
      <c r="L77" s="2" t="s">
        <v>39</v>
      </c>
      <c r="M77" s="2" t="s">
        <v>29</v>
      </c>
      <c r="N77" s="2" t="s">
        <v>454</v>
      </c>
      <c r="O77" s="2" t="s">
        <v>455</v>
      </c>
      <c r="P77" s="3" t="s">
        <v>456</v>
      </c>
      <c r="Q77" s="2" t="s">
        <v>33</v>
      </c>
    </row>
    <row r="78" customFormat="false" ht="23.85" hidden="false" customHeight="false" outlineLevel="0" collapsed="false">
      <c r="A78" s="2" t="s">
        <v>457</v>
      </c>
      <c r="B78" s="2" t="s">
        <v>405</v>
      </c>
      <c r="C78" s="2" t="s">
        <v>19</v>
      </c>
      <c r="D78" s="2" t="s">
        <v>150</v>
      </c>
      <c r="E78" s="2" t="s">
        <v>458</v>
      </c>
      <c r="F78" s="2" t="s">
        <v>413</v>
      </c>
      <c r="G78" s="2" t="s">
        <v>133</v>
      </c>
      <c r="H78" s="2" t="s">
        <v>55</v>
      </c>
      <c r="I78" s="2" t="s">
        <v>38</v>
      </c>
      <c r="J78" s="2" t="s">
        <v>72</v>
      </c>
      <c r="K78" s="2" t="s">
        <v>27</v>
      </c>
      <c r="L78" s="2" t="s">
        <v>28</v>
      </c>
      <c r="M78" s="2" t="s">
        <v>50</v>
      </c>
      <c r="N78" s="2" t="s">
        <v>459</v>
      </c>
      <c r="O78" s="2" t="s">
        <v>460</v>
      </c>
      <c r="P78" s="3" t="s">
        <v>461</v>
      </c>
      <c r="Q78" s="2" t="s">
        <v>33</v>
      </c>
    </row>
    <row r="79" customFormat="false" ht="23.85" hidden="false" customHeight="false" outlineLevel="0" collapsed="false">
      <c r="A79" s="2" t="s">
        <v>462</v>
      </c>
      <c r="B79" s="2" t="s">
        <v>163</v>
      </c>
      <c r="C79" s="2" t="s">
        <v>19</v>
      </c>
      <c r="D79" s="2" t="s">
        <v>86</v>
      </c>
      <c r="E79" s="2" t="s">
        <v>463</v>
      </c>
      <c r="F79" s="2" t="s">
        <v>361</v>
      </c>
      <c r="G79" s="2" t="s">
        <v>63</v>
      </c>
      <c r="H79" s="2" t="s">
        <v>55</v>
      </c>
      <c r="I79" s="2" t="s">
        <v>38</v>
      </c>
      <c r="J79" s="2" t="s">
        <v>49</v>
      </c>
      <c r="K79" s="2" t="s">
        <v>27</v>
      </c>
      <c r="L79" s="2" t="s">
        <v>39</v>
      </c>
      <c r="M79" s="2" t="s">
        <v>29</v>
      </c>
      <c r="N79" s="2" t="s">
        <v>464</v>
      </c>
      <c r="O79" s="2" t="s">
        <v>465</v>
      </c>
      <c r="P79" s="3" t="s">
        <v>466</v>
      </c>
      <c r="Q79" s="2" t="s">
        <v>33</v>
      </c>
    </row>
    <row r="80" customFormat="false" ht="23.85" hidden="false" customHeight="false" outlineLevel="0" collapsed="false">
      <c r="A80" s="2" t="s">
        <v>467</v>
      </c>
      <c r="B80" s="2" t="s">
        <v>163</v>
      </c>
      <c r="C80" s="2" t="s">
        <v>19</v>
      </c>
      <c r="D80" s="2" t="s">
        <v>86</v>
      </c>
      <c r="E80" s="2" t="s">
        <v>468</v>
      </c>
      <c r="F80" s="2" t="s">
        <v>216</v>
      </c>
      <c r="G80" s="2" t="s">
        <v>181</v>
      </c>
      <c r="H80" s="2" t="s">
        <v>55</v>
      </c>
      <c r="I80" s="2" t="s">
        <v>266</v>
      </c>
      <c r="J80" s="2" t="s">
        <v>49</v>
      </c>
      <c r="K80" s="2" t="s">
        <v>27</v>
      </c>
      <c r="L80" s="2" t="s">
        <v>28</v>
      </c>
      <c r="M80" s="2" t="s">
        <v>50</v>
      </c>
      <c r="N80" s="2" t="s">
        <v>469</v>
      </c>
      <c r="O80" s="2" t="s">
        <v>470</v>
      </c>
      <c r="P80" s="3" t="s">
        <v>471</v>
      </c>
      <c r="Q80" s="2" t="s">
        <v>33</v>
      </c>
    </row>
    <row r="81" customFormat="false" ht="23.85" hidden="false" customHeight="false" outlineLevel="0" collapsed="false">
      <c r="A81" s="2" t="s">
        <v>472</v>
      </c>
      <c r="B81" s="2" t="s">
        <v>235</v>
      </c>
      <c r="C81" s="2" t="s">
        <v>19</v>
      </c>
      <c r="D81" s="2" t="s">
        <v>20</v>
      </c>
      <c r="E81" s="2" t="s">
        <v>473</v>
      </c>
      <c r="F81" s="2" t="s">
        <v>249</v>
      </c>
      <c r="G81" s="2" t="s">
        <v>37</v>
      </c>
      <c r="H81" s="2" t="s">
        <v>55</v>
      </c>
      <c r="I81" s="2" t="s">
        <v>38</v>
      </c>
      <c r="J81" s="2" t="s">
        <v>72</v>
      </c>
      <c r="K81" s="2" t="s">
        <v>27</v>
      </c>
      <c r="L81" s="2" t="s">
        <v>39</v>
      </c>
      <c r="M81" s="2" t="s">
        <v>29</v>
      </c>
      <c r="N81" s="2" t="s">
        <v>474</v>
      </c>
      <c r="O81" s="2" t="s">
        <v>217</v>
      </c>
      <c r="P81" s="3" t="s">
        <v>475</v>
      </c>
      <c r="Q81" s="2" t="s">
        <v>33</v>
      </c>
    </row>
    <row r="82" customFormat="false" ht="15" hidden="false" customHeight="false" outlineLevel="0" collapsed="false">
      <c r="A82" s="2" t="s">
        <v>476</v>
      </c>
      <c r="B82" s="2" t="s">
        <v>235</v>
      </c>
      <c r="C82" s="2" t="s">
        <v>19</v>
      </c>
      <c r="D82" s="2" t="s">
        <v>20</v>
      </c>
      <c r="E82" s="2" t="s">
        <v>236</v>
      </c>
      <c r="F82" s="2" t="s">
        <v>413</v>
      </c>
      <c r="G82" s="2" t="s">
        <v>37</v>
      </c>
      <c r="H82" s="2" t="s">
        <v>48</v>
      </c>
      <c r="I82" s="2" t="s">
        <v>38</v>
      </c>
      <c r="J82" s="2" t="s">
        <v>72</v>
      </c>
      <c r="K82" s="2" t="s">
        <v>107</v>
      </c>
      <c r="L82" s="2" t="s">
        <v>28</v>
      </c>
      <c r="M82" s="2" t="s">
        <v>29</v>
      </c>
      <c r="N82" s="2" t="s">
        <v>477</v>
      </c>
      <c r="O82" s="2" t="s">
        <v>478</v>
      </c>
      <c r="P82" s="3" t="s">
        <v>479</v>
      </c>
      <c r="Q82" s="2" t="s">
        <v>33</v>
      </c>
    </row>
    <row r="83" customFormat="false" ht="15" hidden="false" customHeight="false" outlineLevel="0" collapsed="false">
      <c r="A83" s="2" t="s">
        <v>480</v>
      </c>
      <c r="B83" s="2" t="s">
        <v>405</v>
      </c>
      <c r="C83" s="2" t="s">
        <v>19</v>
      </c>
      <c r="D83" s="2" t="s">
        <v>86</v>
      </c>
      <c r="E83" s="2" t="s">
        <v>481</v>
      </c>
      <c r="F83" s="2" t="s">
        <v>482</v>
      </c>
      <c r="G83" s="2" t="s">
        <v>37</v>
      </c>
      <c r="H83" s="2" t="s">
        <v>55</v>
      </c>
      <c r="I83" s="2" t="s">
        <v>266</v>
      </c>
      <c r="J83" s="2" t="s">
        <v>49</v>
      </c>
      <c r="K83" s="2" t="s">
        <v>27</v>
      </c>
      <c r="L83" s="2" t="s">
        <v>39</v>
      </c>
      <c r="M83" s="2" t="s">
        <v>29</v>
      </c>
      <c r="N83" s="2" t="s">
        <v>483</v>
      </c>
      <c r="O83" s="2" t="s">
        <v>484</v>
      </c>
      <c r="P83" s="3" t="s">
        <v>485</v>
      </c>
      <c r="Q83" s="2" t="s">
        <v>33</v>
      </c>
    </row>
    <row r="84" customFormat="false" ht="23.85" hidden="false" customHeight="false" outlineLevel="0" collapsed="false">
      <c r="A84" s="2" t="s">
        <v>486</v>
      </c>
      <c r="B84" s="2" t="s">
        <v>405</v>
      </c>
      <c r="C84" s="2" t="s">
        <v>19</v>
      </c>
      <c r="D84" s="2" t="s">
        <v>86</v>
      </c>
      <c r="E84" s="2" t="s">
        <v>487</v>
      </c>
      <c r="F84" s="2" t="s">
        <v>260</v>
      </c>
      <c r="G84" s="2" t="s">
        <v>165</v>
      </c>
      <c r="H84" s="2" t="s">
        <v>55</v>
      </c>
      <c r="I84" s="2" t="s">
        <v>266</v>
      </c>
      <c r="J84" s="2" t="s">
        <v>72</v>
      </c>
      <c r="K84" s="2" t="s">
        <v>73</v>
      </c>
      <c r="L84" s="2" t="s">
        <v>28</v>
      </c>
      <c r="M84" s="2" t="s">
        <v>29</v>
      </c>
      <c r="N84" s="2" t="s">
        <v>488</v>
      </c>
      <c r="O84" s="2" t="s">
        <v>489</v>
      </c>
      <c r="P84" s="3" t="s">
        <v>490</v>
      </c>
      <c r="Q84" s="2" t="s">
        <v>33</v>
      </c>
    </row>
    <row r="85" customFormat="false" ht="23.85" hidden="false" customHeight="false" outlineLevel="0" collapsed="false">
      <c r="A85" s="2" t="s">
        <v>491</v>
      </c>
      <c r="B85" s="2" t="s">
        <v>492</v>
      </c>
      <c r="C85" s="2" t="s">
        <v>19</v>
      </c>
      <c r="D85" s="2" t="s">
        <v>20</v>
      </c>
      <c r="E85" s="2" t="s">
        <v>493</v>
      </c>
      <c r="F85" s="2" t="s">
        <v>196</v>
      </c>
      <c r="G85" s="2" t="s">
        <v>23</v>
      </c>
      <c r="H85" s="2" t="s">
        <v>48</v>
      </c>
      <c r="I85" s="2" t="s">
        <v>89</v>
      </c>
      <c r="J85" s="2" t="s">
        <v>72</v>
      </c>
      <c r="K85" s="2" t="s">
        <v>27</v>
      </c>
      <c r="L85" s="2" t="s">
        <v>28</v>
      </c>
      <c r="M85" s="2" t="s">
        <v>50</v>
      </c>
      <c r="N85" s="2" t="s">
        <v>494</v>
      </c>
      <c r="O85" s="2" t="s">
        <v>470</v>
      </c>
      <c r="P85" s="3" t="s">
        <v>495</v>
      </c>
      <c r="Q85" s="2" t="s">
        <v>33</v>
      </c>
    </row>
    <row r="86" customFormat="false" ht="23.85" hidden="false" customHeight="false" outlineLevel="0" collapsed="false">
      <c r="A86" s="2" t="s">
        <v>496</v>
      </c>
      <c r="B86" s="2" t="s">
        <v>492</v>
      </c>
      <c r="C86" s="2" t="s">
        <v>19</v>
      </c>
      <c r="D86" s="2" t="s">
        <v>44</v>
      </c>
      <c r="E86" s="2" t="s">
        <v>497</v>
      </c>
      <c r="F86" s="2" t="s">
        <v>249</v>
      </c>
      <c r="G86" s="2" t="s">
        <v>37</v>
      </c>
      <c r="H86" s="2" t="s">
        <v>24</v>
      </c>
      <c r="I86" s="2" t="s">
        <v>38</v>
      </c>
      <c r="J86" s="2" t="s">
        <v>49</v>
      </c>
      <c r="K86" s="2" t="s">
        <v>107</v>
      </c>
      <c r="L86" s="2" t="s">
        <v>28</v>
      </c>
      <c r="M86" s="2" t="s">
        <v>29</v>
      </c>
      <c r="N86" s="2" t="s">
        <v>498</v>
      </c>
      <c r="O86" s="2" t="s">
        <v>31</v>
      </c>
      <c r="P86" s="3" t="s">
        <v>499</v>
      </c>
      <c r="Q86" s="2" t="s">
        <v>33</v>
      </c>
    </row>
    <row r="87" customFormat="false" ht="23.85" hidden="false" customHeight="false" outlineLevel="0" collapsed="false">
      <c r="A87" s="2" t="s">
        <v>500</v>
      </c>
      <c r="B87" s="2" t="s">
        <v>492</v>
      </c>
      <c r="C87" s="2" t="s">
        <v>19</v>
      </c>
      <c r="D87" s="2" t="s">
        <v>60</v>
      </c>
      <c r="E87" s="2" t="s">
        <v>501</v>
      </c>
      <c r="F87" s="2" t="s">
        <v>36</v>
      </c>
      <c r="G87" s="2" t="s">
        <v>37</v>
      </c>
      <c r="H87" s="2" t="s">
        <v>24</v>
      </c>
      <c r="I87" s="2" t="s">
        <v>25</v>
      </c>
      <c r="J87" s="2" t="s">
        <v>49</v>
      </c>
      <c r="K87" s="2" t="s">
        <v>27</v>
      </c>
      <c r="L87" s="2" t="s">
        <v>28</v>
      </c>
      <c r="M87" s="2" t="s">
        <v>29</v>
      </c>
      <c r="N87" s="2" t="s">
        <v>502</v>
      </c>
      <c r="O87" s="2" t="s">
        <v>333</v>
      </c>
      <c r="P87" s="3" t="s">
        <v>503</v>
      </c>
      <c r="Q87" s="2" t="s">
        <v>33</v>
      </c>
    </row>
    <row r="88" customFormat="false" ht="23.85" hidden="false" customHeight="false" outlineLevel="0" collapsed="false">
      <c r="A88" s="2" t="s">
        <v>504</v>
      </c>
      <c r="B88" s="2" t="s">
        <v>492</v>
      </c>
      <c r="C88" s="2" t="s">
        <v>85</v>
      </c>
      <c r="D88" s="2" t="s">
        <v>86</v>
      </c>
      <c r="E88" s="2" t="s">
        <v>505</v>
      </c>
      <c r="F88" s="2" t="s">
        <v>506</v>
      </c>
      <c r="G88" s="2" t="s">
        <v>23</v>
      </c>
      <c r="H88" s="2" t="s">
        <v>24</v>
      </c>
      <c r="I88" s="2" t="s">
        <v>266</v>
      </c>
      <c r="J88" s="2" t="s">
        <v>49</v>
      </c>
      <c r="K88" s="2" t="s">
        <v>65</v>
      </c>
      <c r="L88" s="2" t="s">
        <v>81</v>
      </c>
      <c r="M88" s="2" t="s">
        <v>29</v>
      </c>
      <c r="N88" s="2" t="s">
        <v>507</v>
      </c>
      <c r="O88" s="2" t="s">
        <v>508</v>
      </c>
      <c r="P88" s="3" t="s">
        <v>509</v>
      </c>
      <c r="Q88" s="2" t="s">
        <v>33</v>
      </c>
    </row>
    <row r="89" customFormat="false" ht="23.85" hidden="false" customHeight="false" outlineLevel="0" collapsed="false">
      <c r="A89" s="2" t="s">
        <v>510</v>
      </c>
      <c r="B89" s="2" t="s">
        <v>492</v>
      </c>
      <c r="C89" s="2" t="s">
        <v>19</v>
      </c>
      <c r="D89" s="2" t="s">
        <v>101</v>
      </c>
      <c r="E89" s="2" t="s">
        <v>511</v>
      </c>
      <c r="F89" s="2" t="s">
        <v>260</v>
      </c>
      <c r="G89" s="2" t="s">
        <v>206</v>
      </c>
      <c r="H89" s="2" t="s">
        <v>24</v>
      </c>
      <c r="I89" s="2" t="s">
        <v>38</v>
      </c>
      <c r="J89" s="2" t="s">
        <v>49</v>
      </c>
      <c r="K89" s="2" t="s">
        <v>73</v>
      </c>
      <c r="L89" s="2" t="s">
        <v>28</v>
      </c>
      <c r="M89" s="2" t="s">
        <v>50</v>
      </c>
      <c r="N89" s="2" t="s">
        <v>512</v>
      </c>
      <c r="O89" s="2" t="s">
        <v>419</v>
      </c>
      <c r="P89" s="3" t="s">
        <v>513</v>
      </c>
      <c r="Q89" s="2" t="s">
        <v>33</v>
      </c>
    </row>
    <row r="90" customFormat="false" ht="23.85" hidden="false" customHeight="false" outlineLevel="0" collapsed="false">
      <c r="A90" s="2" t="s">
        <v>514</v>
      </c>
      <c r="B90" s="2" t="s">
        <v>492</v>
      </c>
      <c r="C90" s="2" t="s">
        <v>19</v>
      </c>
      <c r="D90" s="2" t="s">
        <v>101</v>
      </c>
      <c r="E90" s="2" t="s">
        <v>515</v>
      </c>
      <c r="F90" s="2" t="s">
        <v>309</v>
      </c>
      <c r="G90" s="2" t="s">
        <v>516</v>
      </c>
      <c r="H90" s="2" t="s">
        <v>24</v>
      </c>
      <c r="I90" s="2" t="s">
        <v>38</v>
      </c>
      <c r="J90" s="2" t="s">
        <v>64</v>
      </c>
      <c r="K90" s="2" t="s">
        <v>56</v>
      </c>
      <c r="L90" s="2" t="s">
        <v>28</v>
      </c>
      <c r="M90" s="2" t="s">
        <v>50</v>
      </c>
      <c r="N90" s="2" t="s">
        <v>517</v>
      </c>
      <c r="O90" s="2" t="s">
        <v>192</v>
      </c>
      <c r="P90" s="3" t="s">
        <v>518</v>
      </c>
      <c r="Q90" s="2" t="s">
        <v>33</v>
      </c>
    </row>
    <row r="91" customFormat="false" ht="23.85" hidden="false" customHeight="false" outlineLevel="0" collapsed="false">
      <c r="A91" s="2" t="s">
        <v>519</v>
      </c>
      <c r="B91" s="2" t="s">
        <v>492</v>
      </c>
      <c r="C91" s="2" t="s">
        <v>78</v>
      </c>
      <c r="D91" s="2" t="s">
        <v>112</v>
      </c>
      <c r="E91" s="2" t="s">
        <v>520</v>
      </c>
      <c r="F91" s="2" t="s">
        <v>521</v>
      </c>
      <c r="G91" s="2" t="s">
        <v>23</v>
      </c>
      <c r="H91" s="2" t="s">
        <v>48</v>
      </c>
      <c r="I91" s="2" t="s">
        <v>25</v>
      </c>
      <c r="J91" s="2" t="s">
        <v>64</v>
      </c>
      <c r="K91" s="2" t="s">
        <v>107</v>
      </c>
      <c r="L91" s="2" t="s">
        <v>81</v>
      </c>
      <c r="M91" s="2" t="s">
        <v>29</v>
      </c>
      <c r="N91" s="2" t="s">
        <v>522</v>
      </c>
      <c r="O91" s="2" t="s">
        <v>523</v>
      </c>
      <c r="P91" s="3" t="s">
        <v>524</v>
      </c>
      <c r="Q91" s="2" t="s">
        <v>33</v>
      </c>
    </row>
    <row r="92" customFormat="false" ht="23.85" hidden="false" customHeight="false" outlineLevel="0" collapsed="false">
      <c r="A92" s="2" t="s">
        <v>525</v>
      </c>
      <c r="B92" s="2" t="s">
        <v>492</v>
      </c>
      <c r="C92" s="2" t="s">
        <v>19</v>
      </c>
      <c r="D92" s="2" t="s">
        <v>131</v>
      </c>
      <c r="E92" s="2" t="s">
        <v>526</v>
      </c>
      <c r="F92" s="2" t="s">
        <v>249</v>
      </c>
      <c r="G92" s="2" t="s">
        <v>23</v>
      </c>
      <c r="H92" s="2" t="s">
        <v>55</v>
      </c>
      <c r="I92" s="2" t="s">
        <v>38</v>
      </c>
      <c r="J92" s="2" t="s">
        <v>49</v>
      </c>
      <c r="K92" s="2" t="s">
        <v>107</v>
      </c>
      <c r="L92" s="2" t="s">
        <v>39</v>
      </c>
      <c r="M92" s="2" t="s">
        <v>29</v>
      </c>
      <c r="N92" s="2" t="s">
        <v>527</v>
      </c>
      <c r="O92" s="2" t="s">
        <v>528</v>
      </c>
      <c r="P92" s="3" t="s">
        <v>529</v>
      </c>
      <c r="Q92" s="2" t="s">
        <v>33</v>
      </c>
    </row>
    <row r="93" customFormat="false" ht="23.85" hidden="false" customHeight="false" outlineLevel="0" collapsed="false">
      <c r="A93" s="2" t="s">
        <v>530</v>
      </c>
      <c r="B93" s="2" t="s">
        <v>492</v>
      </c>
      <c r="C93" s="2" t="s">
        <v>19</v>
      </c>
      <c r="D93" s="2" t="s">
        <v>150</v>
      </c>
      <c r="E93" s="2" t="s">
        <v>531</v>
      </c>
      <c r="F93" s="2" t="s">
        <v>532</v>
      </c>
      <c r="G93" s="2" t="s">
        <v>115</v>
      </c>
      <c r="H93" s="2" t="s">
        <v>55</v>
      </c>
      <c r="I93" s="2" t="s">
        <v>89</v>
      </c>
      <c r="J93" s="2" t="s">
        <v>49</v>
      </c>
      <c r="K93" s="2" t="s">
        <v>73</v>
      </c>
      <c r="L93" s="2" t="s">
        <v>39</v>
      </c>
      <c r="M93" s="2" t="s">
        <v>50</v>
      </c>
      <c r="N93" s="2" t="s">
        <v>533</v>
      </c>
      <c r="O93" s="2" t="s">
        <v>147</v>
      </c>
      <c r="P93" s="3" t="s">
        <v>534</v>
      </c>
      <c r="Q93" s="2" t="s">
        <v>33</v>
      </c>
    </row>
    <row r="94" customFormat="false" ht="23.85" hidden="false" customHeight="false" outlineLevel="0" collapsed="false">
      <c r="A94" s="2" t="s">
        <v>535</v>
      </c>
      <c r="B94" s="2" t="s">
        <v>536</v>
      </c>
      <c r="C94" s="2" t="s">
        <v>19</v>
      </c>
      <c r="D94" s="2" t="s">
        <v>44</v>
      </c>
      <c r="E94" s="2" t="s">
        <v>537</v>
      </c>
      <c r="F94" s="2" t="s">
        <v>46</v>
      </c>
      <c r="G94" s="2" t="s">
        <v>23</v>
      </c>
      <c r="H94" s="2" t="s">
        <v>55</v>
      </c>
      <c r="I94" s="2" t="s">
        <v>25</v>
      </c>
      <c r="J94" s="2" t="s">
        <v>49</v>
      </c>
      <c r="K94" s="2" t="s">
        <v>27</v>
      </c>
      <c r="L94" s="2" t="s">
        <v>39</v>
      </c>
      <c r="M94" s="2" t="s">
        <v>50</v>
      </c>
      <c r="N94" s="2" t="s">
        <v>538</v>
      </c>
      <c r="O94" s="2" t="s">
        <v>419</v>
      </c>
      <c r="P94" s="3" t="s">
        <v>539</v>
      </c>
      <c r="Q94" s="2" t="s">
        <v>33</v>
      </c>
    </row>
    <row r="95" customFormat="false" ht="23.85" hidden="false" customHeight="false" outlineLevel="0" collapsed="false">
      <c r="A95" s="2" t="s">
        <v>540</v>
      </c>
      <c r="B95" s="2" t="s">
        <v>536</v>
      </c>
      <c r="C95" s="2" t="s">
        <v>19</v>
      </c>
      <c r="D95" s="2" t="s">
        <v>44</v>
      </c>
      <c r="E95" s="2" t="s">
        <v>541</v>
      </c>
      <c r="F95" s="2" t="s">
        <v>36</v>
      </c>
      <c r="G95" s="2" t="s">
        <v>37</v>
      </c>
      <c r="H95" s="2" t="s">
        <v>55</v>
      </c>
      <c r="I95" s="2" t="s">
        <v>25</v>
      </c>
      <c r="J95" s="2" t="s">
        <v>49</v>
      </c>
      <c r="K95" s="2" t="s">
        <v>56</v>
      </c>
      <c r="L95" s="2" t="s">
        <v>39</v>
      </c>
      <c r="M95" s="2" t="s">
        <v>29</v>
      </c>
      <c r="N95" s="2" t="s">
        <v>542</v>
      </c>
      <c r="O95" s="2" t="s">
        <v>543</v>
      </c>
      <c r="P95" s="3" t="s">
        <v>544</v>
      </c>
      <c r="Q95" s="2" t="s">
        <v>33</v>
      </c>
    </row>
    <row r="96" customFormat="false" ht="23.85" hidden="false" customHeight="false" outlineLevel="0" collapsed="false">
      <c r="A96" s="2" t="s">
        <v>545</v>
      </c>
      <c r="B96" s="2" t="s">
        <v>536</v>
      </c>
      <c r="C96" s="2" t="s">
        <v>19</v>
      </c>
      <c r="D96" s="2" t="s">
        <v>60</v>
      </c>
      <c r="E96" s="2" t="s">
        <v>422</v>
      </c>
      <c r="F96" s="2" t="s">
        <v>139</v>
      </c>
      <c r="G96" s="2" t="s">
        <v>63</v>
      </c>
      <c r="H96" s="2" t="s">
        <v>55</v>
      </c>
      <c r="I96" s="2" t="s">
        <v>25</v>
      </c>
      <c r="J96" s="2" t="s">
        <v>49</v>
      </c>
      <c r="K96" s="2" t="s">
        <v>27</v>
      </c>
      <c r="L96" s="2" t="s">
        <v>39</v>
      </c>
      <c r="M96" s="2" t="s">
        <v>29</v>
      </c>
      <c r="N96" s="2" t="s">
        <v>546</v>
      </c>
      <c r="O96" s="2" t="s">
        <v>547</v>
      </c>
      <c r="P96" s="3" t="s">
        <v>548</v>
      </c>
      <c r="Q96" s="2" t="s">
        <v>33</v>
      </c>
    </row>
    <row r="97" customFormat="false" ht="23.85" hidden="false" customHeight="false" outlineLevel="0" collapsed="false">
      <c r="A97" s="2" t="s">
        <v>549</v>
      </c>
      <c r="B97" s="2" t="s">
        <v>536</v>
      </c>
      <c r="C97" s="2" t="s">
        <v>19</v>
      </c>
      <c r="D97" s="2" t="s">
        <v>101</v>
      </c>
      <c r="E97" s="2" t="s">
        <v>550</v>
      </c>
      <c r="F97" s="2" t="s">
        <v>62</v>
      </c>
      <c r="G97" s="2" t="s">
        <v>37</v>
      </c>
      <c r="H97" s="2" t="s">
        <v>55</v>
      </c>
      <c r="I97" s="2" t="s">
        <v>25</v>
      </c>
      <c r="J97" s="2" t="s">
        <v>49</v>
      </c>
      <c r="K97" s="2" t="s">
        <v>73</v>
      </c>
      <c r="L97" s="2" t="s">
        <v>39</v>
      </c>
      <c r="M97" s="2" t="s">
        <v>29</v>
      </c>
      <c r="N97" s="2" t="s">
        <v>551</v>
      </c>
      <c r="O97" s="2" t="s">
        <v>552</v>
      </c>
      <c r="P97" s="3" t="s">
        <v>553</v>
      </c>
      <c r="Q97" s="2" t="s">
        <v>33</v>
      </c>
    </row>
    <row r="98" customFormat="false" ht="23.85" hidden="false" customHeight="false" outlineLevel="0" collapsed="false">
      <c r="A98" s="2" t="s">
        <v>554</v>
      </c>
      <c r="B98" s="2" t="s">
        <v>536</v>
      </c>
      <c r="C98" s="2" t="s">
        <v>19</v>
      </c>
      <c r="D98" s="2" t="s">
        <v>131</v>
      </c>
      <c r="E98" s="2" t="s">
        <v>555</v>
      </c>
      <c r="F98" s="2" t="s">
        <v>556</v>
      </c>
      <c r="G98" s="2" t="s">
        <v>23</v>
      </c>
      <c r="H98" s="2" t="s">
        <v>55</v>
      </c>
      <c r="I98" s="2" t="s">
        <v>25</v>
      </c>
      <c r="J98" s="2" t="s">
        <v>49</v>
      </c>
      <c r="K98" s="2" t="s">
        <v>27</v>
      </c>
      <c r="L98" s="2" t="s">
        <v>39</v>
      </c>
      <c r="M98" s="2" t="s">
        <v>50</v>
      </c>
      <c r="N98" s="2" t="s">
        <v>557</v>
      </c>
      <c r="O98" s="2" t="s">
        <v>446</v>
      </c>
      <c r="P98" s="3" t="s">
        <v>558</v>
      </c>
      <c r="Q98" s="2" t="s">
        <v>33</v>
      </c>
    </row>
    <row r="99" customFormat="false" ht="23.85" hidden="false" customHeight="false" outlineLevel="0" collapsed="false">
      <c r="A99" s="2" t="s">
        <v>559</v>
      </c>
      <c r="B99" s="2" t="s">
        <v>560</v>
      </c>
      <c r="C99" s="2" t="s">
        <v>19</v>
      </c>
      <c r="D99" s="2" t="s">
        <v>60</v>
      </c>
      <c r="E99" s="2" t="s">
        <v>561</v>
      </c>
      <c r="F99" s="2" t="s">
        <v>562</v>
      </c>
      <c r="G99" s="2" t="s">
        <v>37</v>
      </c>
      <c r="H99" s="2" t="s">
        <v>24</v>
      </c>
      <c r="I99" s="2" t="s">
        <v>89</v>
      </c>
      <c r="J99" s="2" t="s">
        <v>49</v>
      </c>
      <c r="K99" s="2" t="s">
        <v>27</v>
      </c>
      <c r="L99" s="2" t="s">
        <v>28</v>
      </c>
      <c r="M99" s="2" t="s">
        <v>50</v>
      </c>
      <c r="N99" s="2" t="s">
        <v>563</v>
      </c>
      <c r="O99" s="2" t="s">
        <v>82</v>
      </c>
      <c r="P99" s="3" t="s">
        <v>564</v>
      </c>
      <c r="Q99" s="2" t="s">
        <v>33</v>
      </c>
    </row>
    <row r="100" customFormat="false" ht="15" hidden="false" customHeight="false" outlineLevel="0" collapsed="false">
      <c r="A100" s="2" t="s">
        <v>565</v>
      </c>
      <c r="B100" s="2" t="s">
        <v>560</v>
      </c>
      <c r="C100" s="2" t="s">
        <v>19</v>
      </c>
      <c r="D100" s="2" t="s">
        <v>86</v>
      </c>
      <c r="E100" s="2" t="s">
        <v>566</v>
      </c>
      <c r="F100" s="2" t="s">
        <v>567</v>
      </c>
      <c r="G100" s="2" t="s">
        <v>37</v>
      </c>
      <c r="H100" s="2" t="s">
        <v>24</v>
      </c>
      <c r="I100" s="2" t="s">
        <v>266</v>
      </c>
      <c r="J100" s="2" t="s">
        <v>49</v>
      </c>
      <c r="K100" s="2" t="s">
        <v>73</v>
      </c>
      <c r="L100" s="2" t="s">
        <v>39</v>
      </c>
      <c r="M100" s="2" t="s">
        <v>29</v>
      </c>
      <c r="N100" s="2" t="s">
        <v>568</v>
      </c>
      <c r="O100" s="2" t="s">
        <v>569</v>
      </c>
      <c r="P100" s="3" t="s">
        <v>570</v>
      </c>
      <c r="Q100" s="2" t="s">
        <v>33</v>
      </c>
    </row>
    <row r="101" customFormat="false" ht="15" hidden="false" customHeight="false" outlineLevel="0" collapsed="false">
      <c r="A101" s="2" t="s">
        <v>571</v>
      </c>
      <c r="B101" s="2" t="s">
        <v>560</v>
      </c>
      <c r="C101" s="2" t="s">
        <v>19</v>
      </c>
      <c r="D101" s="2" t="s">
        <v>131</v>
      </c>
      <c r="E101" s="2" t="s">
        <v>572</v>
      </c>
      <c r="F101" s="2" t="s">
        <v>302</v>
      </c>
      <c r="G101" s="2" t="s">
        <v>37</v>
      </c>
      <c r="H101" s="2" t="s">
        <v>24</v>
      </c>
      <c r="I101" s="2" t="s">
        <v>38</v>
      </c>
      <c r="J101" s="2" t="s">
        <v>49</v>
      </c>
      <c r="K101" s="2" t="s">
        <v>107</v>
      </c>
      <c r="L101" s="2" t="s">
        <v>39</v>
      </c>
      <c r="M101" s="2" t="s">
        <v>29</v>
      </c>
      <c r="N101" s="2" t="s">
        <v>573</v>
      </c>
      <c r="O101" s="2" t="s">
        <v>574</v>
      </c>
      <c r="P101" s="3" t="s">
        <v>575</v>
      </c>
      <c r="Q101" s="2" t="s">
        <v>33</v>
      </c>
    </row>
    <row r="102" customFormat="false" ht="23.85" hidden="false" customHeight="false" outlineLevel="0" collapsed="false">
      <c r="A102" s="2" t="s">
        <v>576</v>
      </c>
      <c r="B102" s="2" t="s">
        <v>577</v>
      </c>
      <c r="C102" s="2" t="s">
        <v>19</v>
      </c>
      <c r="D102" s="2" t="s">
        <v>44</v>
      </c>
      <c r="E102" s="2" t="s">
        <v>45</v>
      </c>
      <c r="F102" s="2" t="s">
        <v>413</v>
      </c>
      <c r="G102" s="2" t="s">
        <v>37</v>
      </c>
      <c r="H102" s="2" t="s">
        <v>55</v>
      </c>
      <c r="I102" s="2" t="s">
        <v>38</v>
      </c>
      <c r="J102" s="2" t="s">
        <v>72</v>
      </c>
      <c r="K102" s="2" t="s">
        <v>27</v>
      </c>
      <c r="L102" s="2" t="s">
        <v>39</v>
      </c>
      <c r="M102" s="2" t="s">
        <v>29</v>
      </c>
      <c r="N102" s="2" t="s">
        <v>578</v>
      </c>
      <c r="O102" s="2" t="s">
        <v>579</v>
      </c>
      <c r="P102" s="3" t="s">
        <v>580</v>
      </c>
      <c r="Q102" s="2" t="s">
        <v>33</v>
      </c>
    </row>
    <row r="103" customFormat="false" ht="23.85" hidden="false" customHeight="false" outlineLevel="0" collapsed="false">
      <c r="A103" s="2" t="s">
        <v>581</v>
      </c>
      <c r="B103" s="2" t="s">
        <v>577</v>
      </c>
      <c r="C103" s="2" t="s">
        <v>19</v>
      </c>
      <c r="D103" s="2" t="s">
        <v>60</v>
      </c>
      <c r="E103" s="2" t="s">
        <v>582</v>
      </c>
      <c r="F103" s="2" t="s">
        <v>196</v>
      </c>
      <c r="G103" s="2" t="s">
        <v>37</v>
      </c>
      <c r="H103" s="2" t="s">
        <v>48</v>
      </c>
      <c r="I103" s="2" t="s">
        <v>89</v>
      </c>
      <c r="J103" s="2" t="s">
        <v>49</v>
      </c>
      <c r="K103" s="2" t="s">
        <v>27</v>
      </c>
      <c r="L103" s="2" t="s">
        <v>39</v>
      </c>
      <c r="M103" s="2" t="s">
        <v>50</v>
      </c>
      <c r="N103" s="2" t="s">
        <v>583</v>
      </c>
      <c r="O103" s="2" t="s">
        <v>419</v>
      </c>
      <c r="P103" s="3" t="s">
        <v>584</v>
      </c>
      <c r="Q103" s="2" t="s">
        <v>33</v>
      </c>
    </row>
  </sheetData>
  <autoFilter ref="A1:Q103"/>
  <hyperlinks>
    <hyperlink ref="P2" r:id="rId1" display="https://unsplash.com/photos/RDg0Xz_KBdY"/>
    <hyperlink ref="P3" r:id="rId2" display="https://unsplash.com/photos/mqEuPwpEvuE"/>
    <hyperlink ref="P4" r:id="rId3" display="https://unsplash.com/photos/c0JoR_-2x3E"/>
    <hyperlink ref="P5" r:id="rId4" display="https://unsplash.com/photos/raxI_EcyfGw"/>
    <hyperlink ref="P6" r:id="rId5" display="https://unsplash.com/photos/8ccOqbNdp1A"/>
    <hyperlink ref="P7" r:id="rId6" display="https://unsplash.com/photos/nAFuA8t5K9Y"/>
    <hyperlink ref="P8" r:id="rId7" display="https://unsplash.com/photos/ugIfsN9l_q4"/>
    <hyperlink ref="P9" r:id="rId8" display="https://unsplash.com/photos/FKZsWsFiNDs"/>
    <hyperlink ref="P10" r:id="rId9" display="https://unsplash.com/photos/G88ehihe6wQ"/>
    <hyperlink ref="P11" r:id="rId10" display="https://unsplash.com/photos/q3Qd86sfaoU"/>
    <hyperlink ref="P12" r:id="rId11" display="https://unsplash.com/photos/L7EwHkq1B2s"/>
    <hyperlink ref="P13" r:id="rId12" display="https://unsplash.com/photos/gBqNmxSxnAM"/>
    <hyperlink ref="P14" r:id="rId13" display="https://unsplash.com/photos/-QCjahEjubY"/>
    <hyperlink ref="P15" r:id="rId14" display="https://unsplash.com/photos/nhzhEZvhZ1M"/>
    <hyperlink ref="P16" r:id="rId15" display="https://unsplash.com/photos/vIbxvHj9m9g"/>
    <hyperlink ref="P17" r:id="rId16" display="https://unsplash.com/photos/SZ-DsEZxzlg"/>
    <hyperlink ref="P18" r:id="rId17" display="https://unsplash.com/photos/-jk2BBoQxSk"/>
    <hyperlink ref="P19" r:id="rId18" display="https://unsplash.com/photos/p2oz7Bkk5t4"/>
    <hyperlink ref="P20" r:id="rId19" display="https://unsplash.com/photos/5OWwWbutc_g"/>
    <hyperlink ref="P21" r:id="rId20" display="https://unsplash.com/photos/OihXclRy8n0"/>
    <hyperlink ref="P22" r:id="rId21" display="https://unsplash.com/photos/7pCFUybP_P8"/>
    <hyperlink ref="P23" r:id="rId22" display="https://unsplash.com/photos/b0DHABrkRcM"/>
    <hyperlink ref="P24" r:id="rId23" display="https://unsplash.com/photos/IUTewwzaFeM"/>
    <hyperlink ref="P25" r:id="rId24" display="https://unsplash.com/photos/8FzQn08ukM8"/>
    <hyperlink ref="P26" r:id="rId25" display="https://unsplash.com/photos/RnAo-ha4bpM"/>
    <hyperlink ref="P27" r:id="rId26" display="https://unsplash.com/photos/r8i3RwrVcRk"/>
    <hyperlink ref="P28" r:id="rId27" display="https://unsplash.com/photos/vz9IbCAXHKQ"/>
    <hyperlink ref="P29" r:id="rId28" display="https://unsplash.com/photos/NLl4DIDCQFM"/>
    <hyperlink ref="P30" r:id="rId29" display="https://unsplash.com/photos/0tVimluL_ls"/>
    <hyperlink ref="P31" r:id="rId30" display="https://unsplash.com/photos/ErDrzSvSNv4"/>
    <hyperlink ref="P32" r:id="rId31" display="https://unsplash.com/photos/u-RIsXlI8Q8"/>
    <hyperlink ref="P33" r:id="rId32" display="https://unsplash.com/photos/T5pL6ciEn-I"/>
    <hyperlink ref="P34" r:id="rId33" display="https://unsplash.com/photos/W-wNHts_g3I"/>
    <hyperlink ref="P35" r:id="rId34" display="https://unsplash.com/photos/lE7pmNZZ3Fw"/>
    <hyperlink ref="P36" r:id="rId35" display="https://unsplash.com/photos/cmuuvD2osWs"/>
    <hyperlink ref="P37" r:id="rId36" display="https://unsplash.com/photos/j6MCxix3o2c"/>
    <hyperlink ref="P38" r:id="rId37" display="https://unsplash.com/photos/AgHJm3uKr4U"/>
    <hyperlink ref="P39" r:id="rId38" display="https://unsplash.com/photos/kAa2xEs_jZo"/>
    <hyperlink ref="P40" r:id="rId39" display="https://unsplash.com/photos/4jxGry4pXtc"/>
    <hyperlink ref="P41" r:id="rId40" display="https://unsplash.com/photos/Obh4ZS_bbno"/>
    <hyperlink ref="P42" r:id="rId41" display="https://unsplash.com/photos/sZ5CteK2r6E"/>
    <hyperlink ref="P43" r:id="rId42" display="https://unsplash.com/photos/RryFk4n-vOs"/>
    <hyperlink ref="P44" r:id="rId43" display="https://unsplash.com/photos/1jy1WNfqHos"/>
    <hyperlink ref="P45" r:id="rId44" display="https://unsplash.com/photos/c318EdSUtK4"/>
    <hyperlink ref="P46" r:id="rId45" display="https://unsplash.com/photos/80DAbtNfh4k"/>
    <hyperlink ref="P47" r:id="rId46" display="https://unsplash.com/photos/E7yGIdzNE3k"/>
    <hyperlink ref="P48" r:id="rId47" display="https://unsplash.com/photos/gijwI4X-7ig"/>
    <hyperlink ref="P49" r:id="rId48" display="https://unsplash.com/photos/_yynzKwlZOw"/>
    <hyperlink ref="P50" r:id="rId49" display="https://unsplash.com/photos/8R_eeyi5bFg"/>
    <hyperlink ref="P51" r:id="rId50" display="https://unsplash.com/photos/Ofidz3G8k0Y"/>
    <hyperlink ref="P52" r:id="rId51" display="https://unsplash.com/photos/59YYIR-20xs"/>
    <hyperlink ref="P53" r:id="rId52" display="https://unsplash.com/photos/LSKfjiXsbUU"/>
    <hyperlink ref="P54" r:id="rId53" display="https://unsplash.com/photos/j7Uv1Y_A7dY"/>
    <hyperlink ref="P55" r:id="rId54" display="https://unsplash.com/photos/SWSY0NEicIs"/>
    <hyperlink ref="P56" r:id="rId55" display="https://unsplash.com/photos/q-LqibnwN8Y"/>
    <hyperlink ref="P57" r:id="rId56" display="https://unsplash.com/photos/yH1k2Qp86Tk"/>
    <hyperlink ref="P58" r:id="rId57" display="https://unsplash.com/photos/trSptCbWxAo"/>
    <hyperlink ref="P59" r:id="rId58" display="https://unsplash.com/photos/d5yfKfMSk9o"/>
    <hyperlink ref="P60" r:id="rId59" display="https://unsplash.com/photos/Fuguvv3goCA"/>
    <hyperlink ref="P61" r:id="rId60" display="https://unsplash.com/photos/yb9b2wbhxG4"/>
    <hyperlink ref="P62" r:id="rId61" display="https://unsplash.com/photos/m78oBvRHBm0"/>
    <hyperlink ref="P63" r:id="rId62" display="https://unsplash.com/photos/lXHnEe5AGVo"/>
    <hyperlink ref="P64" r:id="rId63" display="https://unsplash.com/photos/iI2VvS1Prwk"/>
    <hyperlink ref="P65" r:id="rId64" display="https://unsplash.com/photos/PibraWHb4h8"/>
    <hyperlink ref="P66" r:id="rId65" display="https://unsplash.com/photos/W1YxJ_CkpZo"/>
    <hyperlink ref="P67" r:id="rId66" display="https://unsplash.com/photos/5684tm9pat8"/>
    <hyperlink ref="P68" r:id="rId67" display="https://unsplash.com/photos/Z_pg_rltaKE"/>
    <hyperlink ref="P69" r:id="rId68" display="https://unsplash.com/photos/UUsQk_9bdR8"/>
    <hyperlink ref="P70" r:id="rId69" display="https://unsplash.com/photos/sSJ44vZRTHw"/>
    <hyperlink ref="P71" r:id="rId70" display="https://unsplash.com/photos/A7dlCce015A"/>
    <hyperlink ref="P72" r:id="rId71" display="https://unsplash.com/photos/EJSNrTzz6xk"/>
    <hyperlink ref="P73" r:id="rId72" display="https://unsplash.com/photos/wDFwfdH6aEA"/>
    <hyperlink ref="P74" r:id="rId73" display="https://unsplash.com/photos/jwpuanZNwg8"/>
    <hyperlink ref="P75" r:id="rId74" display="https://unsplash.com/photos/9qaKxU20GjY"/>
    <hyperlink ref="P76" r:id="rId75" display="https://unsplash.com/photos/Mb-lGau6K5U"/>
    <hyperlink ref="P77" r:id="rId76" display="https://unsplash.com/photos/krEX3ehhezs"/>
    <hyperlink ref="P78" r:id="rId77" display="https://unsplash.com/photos/IAKubWDzTQA"/>
    <hyperlink ref="P79" r:id="rId78" display="https://unsplash.com/photos/l_SQo7xwJGk"/>
    <hyperlink ref="P80" r:id="rId79" display="https://unsplash.com/photos/Dua0qvBmBtY"/>
    <hyperlink ref="P81" r:id="rId80" display="https://unsplash.com/photos/E2XW7BvfRQg"/>
    <hyperlink ref="P82" r:id="rId81" display="https://unsplash.com/photos/uhv5wEZiz0M"/>
    <hyperlink ref="P83" r:id="rId82" display="https://unsplash.com/photos/GbTDqXJ5jbs"/>
    <hyperlink ref="P84" r:id="rId83" display="https://unsplash.com/photos/iGSVkM_6Bfk"/>
    <hyperlink ref="P85" r:id="rId84" display="https://unsplash.com/photos/2cfj0Y5ch00"/>
    <hyperlink ref="P86" r:id="rId85" display="https://unsplash.com/photos/aYjdg6wZrOU"/>
    <hyperlink ref="P87" r:id="rId86" display="https://unsplash.com/photos/fE3kcMhB1oc"/>
    <hyperlink ref="P88" r:id="rId87" display="https://unsplash.com/photos/tqCfLSHgaIo"/>
    <hyperlink ref="P89" r:id="rId88" display="https://unsplash.com/photos/v9096DgeVeA"/>
    <hyperlink ref="P90" r:id="rId89" display="https://unsplash.com/photos/-yJ-99VvnfE"/>
    <hyperlink ref="P91" r:id="rId90" display="https://unsplash.com/photos/4a-xheeuZA0"/>
    <hyperlink ref="P92" r:id="rId91" display="https://unsplash.com/photos/zGKRmwzplVc"/>
    <hyperlink ref="P93" r:id="rId92" display="https://unsplash.com/photos/Y4mBZQ240Vc"/>
    <hyperlink ref="P94" r:id="rId93" display="https://unsplash.com/photos/wN63YFU_JXk"/>
    <hyperlink ref="P95" r:id="rId94" display="https://unsplash.com/photos/iSO22I2l5uc"/>
    <hyperlink ref="P96" r:id="rId95" display="https://unsplash.com/photos/wItbwu49Wdc"/>
    <hyperlink ref="P97" r:id="rId96" display="https://unsplash.com/photos/jM-dZdFtnbk"/>
    <hyperlink ref="P98" r:id="rId97" display="https://unsplash.com/photos/PhOABIwQrRE"/>
    <hyperlink ref="P99" r:id="rId98" display="https://unsplash.com/photos/iqGUN6GIl78"/>
    <hyperlink ref="P100" r:id="rId99" display="https://unsplash.com/photos/PykCR7AajYc"/>
    <hyperlink ref="P101" r:id="rId100" display="https://unsplash.com/photos/Szi36WVr7M4"/>
    <hyperlink ref="P102" r:id="rId101" display="https://unsplash.com/photos/e0ReP2ZWIMw"/>
    <hyperlink ref="P103" r:id="rId102" display="https://unsplash.com/photos/xJ14RuLV9zI"/>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0" min="2" style="0" width="14"/>
  </cols>
  <sheetData>
    <row r="1" customFormat="false" ht="15" hidden="false" customHeight="false" outlineLevel="0" collapsed="false">
      <c r="A1" s="4" t="s">
        <v>585</v>
      </c>
      <c r="B1" s="5"/>
      <c r="C1" s="5"/>
      <c r="D1" s="5"/>
      <c r="E1" s="5"/>
      <c r="F1" s="5"/>
      <c r="G1" s="5"/>
      <c r="H1" s="5"/>
      <c r="I1" s="5"/>
      <c r="J1" s="5"/>
    </row>
    <row r="2" customFormat="false" ht="15" hidden="false" customHeight="false" outlineLevel="0" collapsed="false">
      <c r="A2" s="6" t="s">
        <v>586</v>
      </c>
      <c r="B2" s="6" t="s">
        <v>44</v>
      </c>
      <c r="C2" s="6" t="s">
        <v>20</v>
      </c>
      <c r="D2" s="6" t="s">
        <v>131</v>
      </c>
      <c r="E2" s="6" t="s">
        <v>86</v>
      </c>
      <c r="F2" s="6" t="s">
        <v>101</v>
      </c>
      <c r="G2" s="6" t="s">
        <v>60</v>
      </c>
      <c r="H2" s="6" t="s">
        <v>150</v>
      </c>
      <c r="I2" s="6" t="s">
        <v>112</v>
      </c>
      <c r="J2" s="6" t="s">
        <v>587</v>
      </c>
    </row>
    <row r="3" customFormat="false" ht="15" hidden="false" customHeight="false" outlineLevel="0" collapsed="false">
      <c r="A3" s="5" t="s">
        <v>18</v>
      </c>
      <c r="B3" s="5" t="n">
        <f aca="false">COUNTIFS(Library!$B$2:$B$103,$A3,Library!$D$2:$D$103,B$2)</f>
        <v>2</v>
      </c>
      <c r="C3" s="5" t="n">
        <f aca="false">COUNTIFS(Library!$B$2:$B$103,$A3,Library!$D$2:$D$103,C$2)</f>
        <v>2</v>
      </c>
      <c r="D3" s="5" t="n">
        <f aca="false">COUNTIFS(Library!$B$2:$B$103,$A3,Library!$D$2:$D$103,D$2)</f>
        <v>3</v>
      </c>
      <c r="E3" s="5" t="n">
        <f aca="false">COUNTIFS(Library!$B$2:$B$103,$A3,Library!$D$2:$D$103,E$2)</f>
        <v>2</v>
      </c>
      <c r="F3" s="5" t="n">
        <f aca="false">COUNTIFS(Library!$B$2:$B$103,$A3,Library!$D$2:$D$103,F$2)</f>
        <v>2</v>
      </c>
      <c r="G3" s="5" t="n">
        <f aca="false">COUNTIFS(Library!$B$2:$B$103,$A3,Library!$D$2:$D$103,G$2)</f>
        <v>3</v>
      </c>
      <c r="H3" s="5" t="n">
        <f aca="false">COUNTIFS(Library!$B$2:$B$103,$A3,Library!$D$2:$D$103,H$2)</f>
        <v>2</v>
      </c>
      <c r="I3" s="5" t="n">
        <f aca="false">COUNTIFS(Library!$B$2:$B$103,$A3,Library!$D$2:$D$103,I$2)</f>
        <v>3</v>
      </c>
      <c r="J3" s="5" t="n">
        <f aca="false">SUM(B3:I3)</f>
        <v>19</v>
      </c>
    </row>
    <row r="4" customFormat="false" ht="15" hidden="false" customHeight="false" outlineLevel="0" collapsed="false">
      <c r="A4" s="5" t="s">
        <v>163</v>
      </c>
      <c r="B4" s="5" t="n">
        <f aca="false">COUNTIFS(Library!$B$2:$B$103,$A4,Library!$D$2:$D$103,B$2)</f>
        <v>1</v>
      </c>
      <c r="C4" s="5" t="n">
        <f aca="false">COUNTIFS(Library!$B$2:$B$103,$A4,Library!$D$2:$D$103,C$2)</f>
        <v>1</v>
      </c>
      <c r="D4" s="5" t="n">
        <f aca="false">COUNTIFS(Library!$B$2:$B$103,$A4,Library!$D$2:$D$103,D$2)</f>
        <v>3</v>
      </c>
      <c r="E4" s="5" t="n">
        <f aca="false">COUNTIFS(Library!$B$2:$B$103,$A4,Library!$D$2:$D$103,E$2)</f>
        <v>3</v>
      </c>
      <c r="F4" s="5" t="n">
        <f aca="false">COUNTIFS(Library!$B$2:$B$103,$A4,Library!$D$2:$D$103,F$2)</f>
        <v>2</v>
      </c>
      <c r="G4" s="5" t="n">
        <f aca="false">COUNTIFS(Library!$B$2:$B$103,$A4,Library!$D$2:$D$103,G$2)</f>
        <v>2</v>
      </c>
      <c r="H4" s="5" t="n">
        <f aca="false">COUNTIFS(Library!$B$2:$B$103,$A4,Library!$D$2:$D$103,H$2)</f>
        <v>2</v>
      </c>
      <c r="I4" s="5" t="n">
        <f aca="false">COUNTIFS(Library!$B$2:$B$103,$A4,Library!$D$2:$D$103,I$2)</f>
        <v>2</v>
      </c>
      <c r="J4" s="5" t="n">
        <f aca="false">SUM(B4:I4)</f>
        <v>16</v>
      </c>
    </row>
    <row r="5" customFormat="false" ht="15" hidden="false" customHeight="false" outlineLevel="0" collapsed="false">
      <c r="A5" s="5" t="s">
        <v>235</v>
      </c>
      <c r="B5" s="5" t="n">
        <f aca="false">COUNTIFS(Library!$B$2:$B$103,$A5,Library!$D$2:$D$103,B$2)</f>
        <v>2</v>
      </c>
      <c r="C5" s="5" t="n">
        <f aca="false">COUNTIFS(Library!$B$2:$B$103,$A5,Library!$D$2:$D$103,C$2)</f>
        <v>2</v>
      </c>
      <c r="D5" s="5" t="n">
        <f aca="false">COUNTIFS(Library!$B$2:$B$103,$A5,Library!$D$2:$D$103,D$2)</f>
        <v>4</v>
      </c>
      <c r="E5" s="5" t="n">
        <f aca="false">COUNTIFS(Library!$B$2:$B$103,$A5,Library!$D$2:$D$103,E$2)</f>
        <v>2</v>
      </c>
      <c r="F5" s="5" t="n">
        <f aca="false">COUNTIFS(Library!$B$2:$B$103,$A5,Library!$D$2:$D$103,F$2)</f>
        <v>2</v>
      </c>
      <c r="G5" s="5" t="n">
        <f aca="false">COUNTIFS(Library!$B$2:$B$103,$A5,Library!$D$2:$D$103,G$2)</f>
        <v>2</v>
      </c>
      <c r="H5" s="5" t="n">
        <f aca="false">COUNTIFS(Library!$B$2:$B$103,$A5,Library!$D$2:$D$103,H$2)</f>
        <v>2</v>
      </c>
      <c r="I5" s="5" t="n">
        <f aca="false">COUNTIFS(Library!$B$2:$B$103,$A5,Library!$D$2:$D$103,I$2)</f>
        <v>2</v>
      </c>
      <c r="J5" s="5" t="n">
        <f aca="false">SUM(B5:I5)</f>
        <v>18</v>
      </c>
    </row>
    <row r="6" customFormat="false" ht="15" hidden="false" customHeight="false" outlineLevel="0" collapsed="false">
      <c r="A6" s="5" t="s">
        <v>324</v>
      </c>
      <c r="B6" s="5" t="n">
        <f aca="false">COUNTIFS(Library!$B$2:$B$103,$A6,Library!$D$2:$D$103,B$2)</f>
        <v>2</v>
      </c>
      <c r="C6" s="5" t="n">
        <f aca="false">COUNTIFS(Library!$B$2:$B$103,$A6,Library!$D$2:$D$103,C$2)</f>
        <v>2</v>
      </c>
      <c r="D6" s="5" t="n">
        <f aca="false">COUNTIFS(Library!$B$2:$B$103,$A6,Library!$D$2:$D$103,D$2)</f>
        <v>2</v>
      </c>
      <c r="E6" s="5" t="n">
        <f aca="false">COUNTIFS(Library!$B$2:$B$103,$A6,Library!$D$2:$D$103,E$2)</f>
        <v>2</v>
      </c>
      <c r="F6" s="5" t="n">
        <f aca="false">COUNTIFS(Library!$B$2:$B$103,$A6,Library!$D$2:$D$103,F$2)</f>
        <v>2</v>
      </c>
      <c r="G6" s="5" t="n">
        <f aca="false">COUNTIFS(Library!$B$2:$B$103,$A6,Library!$D$2:$D$103,G$2)</f>
        <v>2</v>
      </c>
      <c r="H6" s="5" t="n">
        <f aca="false">COUNTIFS(Library!$B$2:$B$103,$A6,Library!$D$2:$D$103,H$2)</f>
        <v>2</v>
      </c>
      <c r="I6" s="5" t="n">
        <f aca="false">COUNTIFS(Library!$B$2:$B$103,$A6,Library!$D$2:$D$103,I$2)</f>
        <v>2</v>
      </c>
      <c r="J6" s="5" t="n">
        <f aca="false">SUM(B6:I6)</f>
        <v>16</v>
      </c>
    </row>
    <row r="7" customFormat="false" ht="15" hidden="false" customHeight="false" outlineLevel="0" collapsed="false">
      <c r="A7" s="5" t="s">
        <v>405</v>
      </c>
      <c r="B7" s="5" t="n">
        <f aca="false">COUNTIFS(Library!$B$2:$B$103,$A7,Library!$D$2:$D$103,B$2)</f>
        <v>2</v>
      </c>
      <c r="C7" s="5" t="n">
        <f aca="false">COUNTIFS(Library!$B$2:$B$103,$A7,Library!$D$2:$D$103,C$2)</f>
        <v>2</v>
      </c>
      <c r="D7" s="5" t="n">
        <f aca="false">COUNTIFS(Library!$B$2:$B$103,$A7,Library!$D$2:$D$103,D$2)</f>
        <v>2</v>
      </c>
      <c r="E7" s="5" t="n">
        <f aca="false">COUNTIFS(Library!$B$2:$B$103,$A7,Library!$D$2:$D$103,E$2)</f>
        <v>2</v>
      </c>
      <c r="F7" s="5" t="n">
        <f aca="false">COUNTIFS(Library!$B$2:$B$103,$A7,Library!$D$2:$D$103,F$2)</f>
        <v>2</v>
      </c>
      <c r="G7" s="5" t="n">
        <f aca="false">COUNTIFS(Library!$B$2:$B$103,$A7,Library!$D$2:$D$103,G$2)</f>
        <v>1</v>
      </c>
      <c r="H7" s="5" t="n">
        <f aca="false">COUNTIFS(Library!$B$2:$B$103,$A7,Library!$D$2:$D$103,H$2)</f>
        <v>2</v>
      </c>
      <c r="I7" s="5" t="n">
        <f aca="false">COUNTIFS(Library!$B$2:$B$103,$A7,Library!$D$2:$D$103,I$2)</f>
        <v>1</v>
      </c>
      <c r="J7" s="5" t="n">
        <f aca="false">SUM(B7:I7)</f>
        <v>14</v>
      </c>
    </row>
    <row r="8" customFormat="false" ht="15" hidden="false" customHeight="false" outlineLevel="0" collapsed="false">
      <c r="A8" s="5" t="s">
        <v>492</v>
      </c>
      <c r="B8" s="5" t="n">
        <f aca="false">COUNTIFS(Library!$B$2:$B$103,$A8,Library!$D$2:$D$103,B$2)</f>
        <v>1</v>
      </c>
      <c r="C8" s="5" t="n">
        <f aca="false">COUNTIFS(Library!$B$2:$B$103,$A8,Library!$D$2:$D$103,C$2)</f>
        <v>1</v>
      </c>
      <c r="D8" s="5" t="n">
        <f aca="false">COUNTIFS(Library!$B$2:$B$103,$A8,Library!$D$2:$D$103,D$2)</f>
        <v>1</v>
      </c>
      <c r="E8" s="5" t="n">
        <f aca="false">COUNTIFS(Library!$B$2:$B$103,$A8,Library!$D$2:$D$103,E$2)</f>
        <v>1</v>
      </c>
      <c r="F8" s="5" t="n">
        <f aca="false">COUNTIFS(Library!$B$2:$B$103,$A8,Library!$D$2:$D$103,F$2)</f>
        <v>2</v>
      </c>
      <c r="G8" s="5" t="n">
        <f aca="false">COUNTIFS(Library!$B$2:$B$103,$A8,Library!$D$2:$D$103,G$2)</f>
        <v>1</v>
      </c>
      <c r="H8" s="5" t="n">
        <f aca="false">COUNTIFS(Library!$B$2:$B$103,$A8,Library!$D$2:$D$103,H$2)</f>
        <v>1</v>
      </c>
      <c r="I8" s="5" t="n">
        <f aca="false">COUNTIFS(Library!$B$2:$B$103,$A8,Library!$D$2:$D$103,I$2)</f>
        <v>1</v>
      </c>
      <c r="J8" s="5" t="n">
        <f aca="false">SUM(B8:I8)</f>
        <v>9</v>
      </c>
    </row>
    <row r="9" customFormat="false" ht="15" hidden="false" customHeight="false" outlineLevel="0" collapsed="false">
      <c r="A9" s="5" t="s">
        <v>536</v>
      </c>
      <c r="B9" s="5" t="n">
        <f aca="false">COUNTIFS(Library!$B$2:$B$103,$A9,Library!$D$2:$D$103,B$2)</f>
        <v>2</v>
      </c>
      <c r="C9" s="5" t="n">
        <f aca="false">COUNTIFS(Library!$B$2:$B$103,$A9,Library!$D$2:$D$103,C$2)</f>
        <v>0</v>
      </c>
      <c r="D9" s="5" t="n">
        <f aca="false">COUNTIFS(Library!$B$2:$B$103,$A9,Library!$D$2:$D$103,D$2)</f>
        <v>1</v>
      </c>
      <c r="E9" s="5" t="n">
        <f aca="false">COUNTIFS(Library!$B$2:$B$103,$A9,Library!$D$2:$D$103,E$2)</f>
        <v>0</v>
      </c>
      <c r="F9" s="5" t="n">
        <f aca="false">COUNTIFS(Library!$B$2:$B$103,$A9,Library!$D$2:$D$103,F$2)</f>
        <v>1</v>
      </c>
      <c r="G9" s="5" t="n">
        <f aca="false">COUNTIFS(Library!$B$2:$B$103,$A9,Library!$D$2:$D$103,G$2)</f>
        <v>1</v>
      </c>
      <c r="H9" s="5" t="n">
        <f aca="false">COUNTIFS(Library!$B$2:$B$103,$A9,Library!$D$2:$D$103,H$2)</f>
        <v>0</v>
      </c>
      <c r="I9" s="5" t="n">
        <f aca="false">COUNTIFS(Library!$B$2:$B$103,$A9,Library!$D$2:$D$103,I$2)</f>
        <v>0</v>
      </c>
      <c r="J9" s="5" t="n">
        <f aca="false">SUM(B9:I9)</f>
        <v>5</v>
      </c>
    </row>
    <row r="10" customFormat="false" ht="15" hidden="false" customHeight="false" outlineLevel="0" collapsed="false">
      <c r="A10" s="5" t="s">
        <v>560</v>
      </c>
      <c r="B10" s="5" t="n">
        <f aca="false">COUNTIFS(Library!$B$2:$B$103,$A10,Library!$D$2:$D$103,B$2)</f>
        <v>0</v>
      </c>
      <c r="C10" s="5" t="n">
        <f aca="false">COUNTIFS(Library!$B$2:$B$103,$A10,Library!$D$2:$D$103,C$2)</f>
        <v>0</v>
      </c>
      <c r="D10" s="5" t="n">
        <f aca="false">COUNTIFS(Library!$B$2:$B$103,$A10,Library!$D$2:$D$103,D$2)</f>
        <v>1</v>
      </c>
      <c r="E10" s="5" t="n">
        <f aca="false">COUNTIFS(Library!$B$2:$B$103,$A10,Library!$D$2:$D$103,E$2)</f>
        <v>1</v>
      </c>
      <c r="F10" s="5" t="n">
        <f aca="false">COUNTIFS(Library!$B$2:$B$103,$A10,Library!$D$2:$D$103,F$2)</f>
        <v>0</v>
      </c>
      <c r="G10" s="5" t="n">
        <f aca="false">COUNTIFS(Library!$B$2:$B$103,$A10,Library!$D$2:$D$103,G$2)</f>
        <v>1</v>
      </c>
      <c r="H10" s="5" t="n">
        <f aca="false">COUNTIFS(Library!$B$2:$B$103,$A10,Library!$D$2:$D$103,H$2)</f>
        <v>0</v>
      </c>
      <c r="I10" s="5" t="n">
        <f aca="false">COUNTIFS(Library!$B$2:$B$103,$A10,Library!$D$2:$D$103,I$2)</f>
        <v>0</v>
      </c>
      <c r="J10" s="5" t="n">
        <f aca="false">SUM(B10:I10)</f>
        <v>3</v>
      </c>
    </row>
    <row r="11" customFormat="false" ht="15" hidden="false" customHeight="false" outlineLevel="0" collapsed="false">
      <c r="A11" s="5" t="s">
        <v>577</v>
      </c>
      <c r="B11" s="5" t="n">
        <f aca="false">COUNTIFS(Library!$B$2:$B$103,$A11,Library!$D$2:$D$103,B$2)</f>
        <v>1</v>
      </c>
      <c r="C11" s="5" t="n">
        <f aca="false">COUNTIFS(Library!$B$2:$B$103,$A11,Library!$D$2:$D$103,C$2)</f>
        <v>0</v>
      </c>
      <c r="D11" s="5" t="n">
        <f aca="false">COUNTIFS(Library!$B$2:$B$103,$A11,Library!$D$2:$D$103,D$2)</f>
        <v>0</v>
      </c>
      <c r="E11" s="5" t="n">
        <f aca="false">COUNTIFS(Library!$B$2:$B$103,$A11,Library!$D$2:$D$103,E$2)</f>
        <v>0</v>
      </c>
      <c r="F11" s="5" t="n">
        <f aca="false">COUNTIFS(Library!$B$2:$B$103,$A11,Library!$D$2:$D$103,F$2)</f>
        <v>0</v>
      </c>
      <c r="G11" s="5" t="n">
        <f aca="false">COUNTIFS(Library!$B$2:$B$103,$A11,Library!$D$2:$D$103,G$2)</f>
        <v>1</v>
      </c>
      <c r="H11" s="5" t="n">
        <f aca="false">COUNTIFS(Library!$B$2:$B$103,$A11,Library!$D$2:$D$103,H$2)</f>
        <v>0</v>
      </c>
      <c r="I11" s="5" t="n">
        <f aca="false">COUNTIFS(Library!$B$2:$B$103,$A11,Library!$D$2:$D$103,I$2)</f>
        <v>0</v>
      </c>
      <c r="J11" s="5" t="n">
        <f aca="false">SUM(B11:I11)</f>
        <v>2</v>
      </c>
    </row>
    <row r="12" customFormat="false" ht="15" hidden="false" customHeight="false" outlineLevel="0" collapsed="false">
      <c r="A12" s="5" t="s">
        <v>587</v>
      </c>
      <c r="B12" s="5" t="n">
        <f aca="false">SUM(B3:B11)</f>
        <v>13</v>
      </c>
      <c r="C12" s="5" t="n">
        <f aca="false">SUM(C3:C11)</f>
        <v>10</v>
      </c>
      <c r="D12" s="5" t="n">
        <f aca="false">SUM(D3:D11)</f>
        <v>17</v>
      </c>
      <c r="E12" s="5" t="n">
        <f aca="false">SUM(E3:E11)</f>
        <v>13</v>
      </c>
      <c r="F12" s="5" t="n">
        <f aca="false">SUM(F3:F11)</f>
        <v>13</v>
      </c>
      <c r="G12" s="5" t="n">
        <f aca="false">SUM(G3:G11)</f>
        <v>14</v>
      </c>
      <c r="H12" s="5" t="n">
        <f aca="false">SUM(H3:H11)</f>
        <v>11</v>
      </c>
      <c r="I12" s="5" t="n">
        <f aca="false">SUM(I3:I11)</f>
        <v>11</v>
      </c>
      <c r="J12" s="5" t="n">
        <f aca="false">SUM(J3:J11)</f>
        <v>102</v>
      </c>
    </row>
    <row r="13" customFormat="false" ht="15" hidden="false" customHeight="false" outlineLevel="0" collapsed="false">
      <c r="A13" s="5"/>
      <c r="B13" s="5"/>
      <c r="C13" s="5"/>
      <c r="D13" s="5"/>
      <c r="E13" s="5"/>
      <c r="F13" s="5"/>
      <c r="G13" s="5"/>
      <c r="H13" s="5"/>
      <c r="I13" s="5"/>
      <c r="J13" s="5"/>
    </row>
    <row r="14" customFormat="false" ht="15" hidden="false" customHeight="false" outlineLevel="0" collapsed="false">
      <c r="A14" s="7" t="s">
        <v>588</v>
      </c>
      <c r="B14" s="5"/>
      <c r="C14" s="5"/>
      <c r="D14" s="5"/>
      <c r="E14" s="5"/>
      <c r="F14" s="5"/>
      <c r="G14" s="5"/>
      <c r="H14" s="5"/>
      <c r="I14" s="5"/>
      <c r="J14" s="5"/>
    </row>
    <row r="15" customFormat="false" ht="15" hidden="false" customHeight="false" outlineLevel="0" collapsed="false">
      <c r="A15" s="5" t="s">
        <v>39</v>
      </c>
      <c r="B15" s="5" t="n">
        <f aca="false">COUNTIF(Library!$L$2:$L$103,A15)</f>
        <v>30</v>
      </c>
      <c r="C15" s="5"/>
      <c r="D15" s="5"/>
      <c r="E15" s="5"/>
      <c r="F15" s="5"/>
      <c r="G15" s="5"/>
      <c r="H15" s="5"/>
      <c r="I15" s="5"/>
      <c r="J15" s="5"/>
    </row>
    <row r="16" customFormat="false" ht="15" hidden="false" customHeight="false" outlineLevel="0" collapsed="false">
      <c r="A16" s="5" t="s">
        <v>28</v>
      </c>
      <c r="B16" s="5" t="n">
        <f aca="false">COUNTIF(Library!$L$2:$L$103,A16)</f>
        <v>42</v>
      </c>
      <c r="C16" s="5"/>
      <c r="D16" s="5"/>
      <c r="E16" s="5"/>
      <c r="F16" s="5"/>
      <c r="G16" s="5"/>
      <c r="H16" s="5"/>
      <c r="I16" s="5"/>
      <c r="J16" s="5"/>
    </row>
    <row r="17" customFormat="false" ht="15" hidden="false" customHeight="false" outlineLevel="0" collapsed="false">
      <c r="A17" s="5" t="s">
        <v>81</v>
      </c>
      <c r="B17" s="5" t="n">
        <f aca="false">COUNTIF(Library!$L$2:$L$103,A17)</f>
        <v>30</v>
      </c>
      <c r="C17" s="5"/>
      <c r="D17" s="5"/>
      <c r="E17" s="5"/>
      <c r="F17" s="5"/>
      <c r="G17" s="5"/>
      <c r="H17" s="5"/>
      <c r="I17" s="5"/>
      <c r="J17" s="5"/>
    </row>
    <row r="18" customFormat="false" ht="15" hidden="false" customHeight="false" outlineLevel="0" collapsed="false">
      <c r="A18" s="5" t="s">
        <v>589</v>
      </c>
      <c r="B18" s="5" t="n">
        <f aca="false">COUNTIF(Library!$M$2:$M$103,"Likely")</f>
        <v>36</v>
      </c>
      <c r="C18" s="5"/>
      <c r="D18" s="5"/>
      <c r="E18" s="5"/>
      <c r="F18" s="5"/>
      <c r="G18" s="5"/>
      <c r="H18" s="5"/>
      <c r="I18" s="5"/>
      <c r="J18"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0"/>
    <col collapsed="false" customWidth="true" hidden="false" outlineLevel="0" max="4" min="3" style="0" width="55"/>
  </cols>
  <sheetData>
    <row r="1" customFormat="false" ht="15" hidden="false" customHeight="false" outlineLevel="0" collapsed="false">
      <c r="A1" s="8" t="s">
        <v>590</v>
      </c>
      <c r="B1" s="8" t="s">
        <v>591</v>
      </c>
      <c r="C1" s="8" t="s">
        <v>592</v>
      </c>
      <c r="D1" s="8" t="s">
        <v>593</v>
      </c>
    </row>
    <row r="2" customFormat="false" ht="15" hidden="false" customHeight="false" outlineLevel="0" collapsed="false">
      <c r="A2" s="9" t="s">
        <v>39</v>
      </c>
      <c r="B2" s="9" t="s">
        <v>594</v>
      </c>
      <c r="C2" s="9" t="s">
        <v>595</v>
      </c>
      <c r="D2" s="9" t="s">
        <v>596</v>
      </c>
    </row>
    <row r="3" customFormat="false" ht="15" hidden="false" customHeight="false" outlineLevel="0" collapsed="false">
      <c r="A3" s="9" t="s">
        <v>28</v>
      </c>
      <c r="B3" s="9" t="s">
        <v>597</v>
      </c>
      <c r="C3" s="9" t="s">
        <v>598</v>
      </c>
      <c r="D3" s="9" t="s">
        <v>599</v>
      </c>
    </row>
    <row r="4" customFormat="false" ht="23.85" hidden="false" customHeight="false" outlineLevel="0" collapsed="false">
      <c r="A4" s="9" t="s">
        <v>81</v>
      </c>
      <c r="B4" s="9" t="s">
        <v>600</v>
      </c>
      <c r="C4" s="9" t="s">
        <v>601</v>
      </c>
      <c r="D4" s="9" t="s">
        <v>602</v>
      </c>
    </row>
    <row r="5" customFormat="false" ht="15" hidden="false" customHeight="false" outlineLevel="0" collapsed="false">
      <c r="A5" s="9"/>
      <c r="B5" s="9"/>
      <c r="C5" s="9"/>
      <c r="D5" s="9"/>
    </row>
    <row r="6" customFormat="false" ht="45" hidden="false" customHeight="true" outlineLevel="0" collapsed="false">
      <c r="A6" s="9" t="s">
        <v>603</v>
      </c>
      <c r="B6" s="10" t="s">
        <v>604</v>
      </c>
      <c r="C6" s="10"/>
      <c r="D6" s="10"/>
    </row>
    <row r="7" customFormat="false" ht="45" hidden="false" customHeight="true" outlineLevel="0" collapsed="false">
      <c r="A7" s="9" t="s">
        <v>605</v>
      </c>
      <c r="B7" s="10" t="s">
        <v>606</v>
      </c>
      <c r="C7" s="10"/>
      <c r="D7" s="10"/>
    </row>
    <row r="8" customFormat="false" ht="15" hidden="false" customHeight="false" outlineLevel="0" collapsed="false">
      <c r="A8" s="9"/>
      <c r="B8" s="9"/>
      <c r="C8" s="9"/>
      <c r="D8" s="9"/>
    </row>
    <row r="9" customFormat="false" ht="15" hidden="false" customHeight="false" outlineLevel="0" collapsed="false">
      <c r="A9" s="11" t="s">
        <v>607</v>
      </c>
      <c r="B9" s="9"/>
      <c r="C9" s="9"/>
      <c r="D9" s="9"/>
    </row>
    <row r="10" customFormat="false" ht="30" hidden="false" customHeight="true" outlineLevel="0" collapsed="false">
      <c r="A10" s="9"/>
      <c r="B10" s="10" t="s">
        <v>608</v>
      </c>
      <c r="C10" s="10"/>
      <c r="D10" s="10"/>
    </row>
    <row r="11" customFormat="false" ht="30" hidden="false" customHeight="true" outlineLevel="0" collapsed="false">
      <c r="A11" s="9"/>
      <c r="B11" s="10" t="s">
        <v>609</v>
      </c>
      <c r="C11" s="10"/>
      <c r="D11" s="10"/>
    </row>
    <row r="12" customFormat="false" ht="30" hidden="false" customHeight="true" outlineLevel="0" collapsed="false">
      <c r="A12" s="9"/>
      <c r="B12" s="10" t="s">
        <v>610</v>
      </c>
      <c r="C12" s="10"/>
      <c r="D12" s="10"/>
    </row>
    <row r="13" customFormat="false" ht="30" hidden="false" customHeight="true" outlineLevel="0" collapsed="false">
      <c r="A13" s="9"/>
      <c r="B13" s="10" t="s">
        <v>611</v>
      </c>
      <c r="C13" s="10"/>
      <c r="D13" s="10"/>
    </row>
  </sheetData>
  <mergeCells count="6">
    <mergeCell ref="B6:D6"/>
    <mergeCell ref="B7:D7"/>
    <mergeCell ref="B10:D10"/>
    <mergeCell ref="B11:D11"/>
    <mergeCell ref="B12:D12"/>
    <mergeCell ref="B13: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0"/>
    <col collapsed="false" customWidth="true" hidden="false" outlineLevel="0" max="3" min="3" style="0" width="16"/>
  </cols>
  <sheetData>
    <row r="1" customFormat="false" ht="26.85" hidden="false" customHeight="false" outlineLevel="0" collapsed="false">
      <c r="A1" s="8" t="s">
        <v>612</v>
      </c>
      <c r="B1" s="8" t="s">
        <v>613</v>
      </c>
      <c r="C1" s="8" t="s">
        <v>614</v>
      </c>
    </row>
    <row r="2" customFormat="false" ht="15" hidden="false" customHeight="false" outlineLevel="0" collapsed="false">
      <c r="A2" s="9" t="s">
        <v>1</v>
      </c>
      <c r="B2" s="9" t="s">
        <v>615</v>
      </c>
      <c r="C2" s="9" t="s">
        <v>616</v>
      </c>
    </row>
    <row r="3" customFormat="false" ht="15" hidden="false" customHeight="false" outlineLevel="0" collapsed="false">
      <c r="A3" s="9" t="s">
        <v>2</v>
      </c>
      <c r="B3" s="9" t="s">
        <v>617</v>
      </c>
      <c r="C3" s="9" t="s">
        <v>618</v>
      </c>
    </row>
    <row r="4" customFormat="false" ht="15" hidden="false" customHeight="false" outlineLevel="0" collapsed="false">
      <c r="A4" s="9" t="s">
        <v>3</v>
      </c>
      <c r="B4" s="9" t="s">
        <v>619</v>
      </c>
      <c r="C4" s="9" t="s">
        <v>616</v>
      </c>
    </row>
    <row r="5" customFormat="false" ht="15" hidden="false" customHeight="false" outlineLevel="0" collapsed="false">
      <c r="A5" s="9" t="s">
        <v>4</v>
      </c>
      <c r="B5" s="9" t="s">
        <v>620</v>
      </c>
      <c r="C5" s="9" t="s">
        <v>618</v>
      </c>
    </row>
    <row r="6" customFormat="false" ht="15" hidden="false" customHeight="false" outlineLevel="0" collapsed="false">
      <c r="A6" s="9" t="s">
        <v>5</v>
      </c>
      <c r="B6" s="9" t="s">
        <v>621</v>
      </c>
      <c r="C6" s="9" t="s">
        <v>618</v>
      </c>
    </row>
    <row r="7" customFormat="false" ht="15" hidden="false" customHeight="false" outlineLevel="0" collapsed="false">
      <c r="A7" s="9" t="s">
        <v>6</v>
      </c>
      <c r="B7" s="9" t="s">
        <v>622</v>
      </c>
      <c r="C7" s="9" t="s">
        <v>618</v>
      </c>
    </row>
    <row r="8" customFormat="false" ht="15" hidden="false" customHeight="false" outlineLevel="0" collapsed="false">
      <c r="A8" s="9" t="s">
        <v>7</v>
      </c>
      <c r="B8" s="9" t="s">
        <v>623</v>
      </c>
      <c r="C8" s="9" t="s">
        <v>616</v>
      </c>
    </row>
    <row r="9" customFormat="false" ht="15" hidden="false" customHeight="false" outlineLevel="0" collapsed="false">
      <c r="A9" s="9" t="s">
        <v>8</v>
      </c>
      <c r="B9" s="9" t="s">
        <v>624</v>
      </c>
      <c r="C9" s="9" t="s">
        <v>616</v>
      </c>
    </row>
    <row r="10" customFormat="false" ht="15" hidden="false" customHeight="false" outlineLevel="0" collapsed="false">
      <c r="A10" s="9" t="s">
        <v>9</v>
      </c>
      <c r="B10" s="9" t="s">
        <v>625</v>
      </c>
      <c r="C10" s="9" t="s">
        <v>616</v>
      </c>
    </row>
    <row r="11" customFormat="false" ht="15" hidden="false" customHeight="false" outlineLevel="0" collapsed="false">
      <c r="A11" s="9" t="s">
        <v>10</v>
      </c>
      <c r="B11" s="9" t="s">
        <v>626</v>
      </c>
      <c r="C11" s="9" t="s">
        <v>616</v>
      </c>
    </row>
    <row r="12" customFormat="false" ht="15" hidden="false" customHeight="false" outlineLevel="0" collapsed="false">
      <c r="A12" s="9" t="s">
        <v>11</v>
      </c>
      <c r="B12" s="9" t="s">
        <v>627</v>
      </c>
      <c r="C12" s="9" t="s">
        <v>616</v>
      </c>
    </row>
    <row r="13" customFormat="false" ht="15" hidden="false" customHeight="false" outlineLevel="0" collapsed="false">
      <c r="A13" s="9" t="s">
        <v>12</v>
      </c>
      <c r="B13" s="9" t="s">
        <v>628</v>
      </c>
      <c r="C13" s="9" t="s">
        <v>616</v>
      </c>
    </row>
    <row r="14" customFormat="false" ht="15" hidden="false" customHeight="false" outlineLevel="0" collapsed="false">
      <c r="A14" s="9"/>
      <c r="B14" s="9"/>
      <c r="C14" s="9"/>
    </row>
    <row r="15" customFormat="false" ht="57.45" hidden="false" customHeight="false" outlineLevel="0" collapsed="false">
      <c r="A15" s="9" t="s">
        <v>629</v>
      </c>
      <c r="B15" s="9"/>
      <c r="C15"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8" t="s">
        <v>630</v>
      </c>
      <c r="B1" s="8" t="s">
        <v>631</v>
      </c>
    </row>
    <row r="2" customFormat="false" ht="23.85" hidden="false" customHeight="false" outlineLevel="0" collapsed="false">
      <c r="A2" s="9" t="s">
        <v>632</v>
      </c>
      <c r="B2" s="9" t="s">
        <v>633</v>
      </c>
    </row>
    <row r="3" customFormat="false" ht="23.85" hidden="false" customHeight="false" outlineLevel="0" collapsed="false">
      <c r="A3" s="9" t="s">
        <v>634</v>
      </c>
      <c r="B3" s="9" t="s">
        <v>635</v>
      </c>
    </row>
    <row r="4" customFormat="false" ht="23.85" hidden="false" customHeight="false" outlineLevel="0" collapsed="false">
      <c r="A4" s="9" t="s">
        <v>636</v>
      </c>
      <c r="B4" s="9" t="s">
        <v>637</v>
      </c>
    </row>
    <row r="5" customFormat="false" ht="23.85" hidden="false" customHeight="false" outlineLevel="0" collapsed="false">
      <c r="A5" s="9" t="s">
        <v>638</v>
      </c>
      <c r="B5" s="9" t="s">
        <v>639</v>
      </c>
    </row>
    <row r="6" customFormat="false" ht="23.85" hidden="false" customHeight="false" outlineLevel="0" collapsed="false">
      <c r="A6" s="9" t="s">
        <v>640</v>
      </c>
      <c r="B6" s="9" t="s">
        <v>641</v>
      </c>
    </row>
    <row r="7" customFormat="false" ht="35.05" hidden="false" customHeight="false" outlineLevel="0" collapsed="false">
      <c r="A7" s="9" t="s">
        <v>16</v>
      </c>
      <c r="B7" s="9" t="s">
        <v>642</v>
      </c>
    </row>
    <row r="8" customFormat="false" ht="23.85" hidden="false" customHeight="false" outlineLevel="0" collapsed="false">
      <c r="A8" s="9" t="s">
        <v>643</v>
      </c>
      <c r="B8" s="9" t="s">
        <v>644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2026-09-25T03:07:39Z</dcterms:created>
  <dc:creator>openpyxl</dc:creator>
  <dc:description/>
  <dc:language>en-US</dc:language>
  <cp:lastModifiedBy/>
  <dcterms:modified xsi:type="dcterms:W3CDTF">2026-09-25T03:07:39Z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